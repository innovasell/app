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asell-my.sharepoint.com/personal/hector_hansen_innovasell_com_br/Documents/Documentos/Downloads/"/>
    </mc:Choice>
  </mc:AlternateContent>
  <xr:revisionPtr revIDLastSave="0" documentId="8_{1E6D9BC4-836B-4950-B501-730F5D9446C8}" xr6:coauthVersionLast="47" xr6:coauthVersionMax="47" xr10:uidLastSave="{00000000-0000-0000-0000-000000000000}"/>
  <bookViews>
    <workbookView xWindow="-120" yWindow="-120" windowWidth="38640" windowHeight="15720" xr2:uid="{04FB37FF-9790-42A0-BF38-708F560E35E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8" i="1" l="1"/>
  <c r="AE168" i="1"/>
  <c r="AD168" i="1"/>
  <c r="AC168" i="1"/>
  <c r="AB168" i="1"/>
  <c r="K168" i="1"/>
  <c r="J168" i="1"/>
  <c r="I168" i="1"/>
  <c r="H168" i="1"/>
  <c r="G168" i="1"/>
  <c r="F168" i="1"/>
  <c r="C168" i="1"/>
  <c r="D168" i="1" s="1"/>
  <c r="E168" i="1" s="1"/>
  <c r="B168" i="1"/>
  <c r="A168" i="1"/>
  <c r="AF167" i="1"/>
  <c r="J167" i="1" s="1"/>
  <c r="AE167" i="1"/>
  <c r="I167" i="1" s="1"/>
  <c r="AD167" i="1"/>
  <c r="AC167" i="1"/>
  <c r="AB167" i="1"/>
  <c r="K167" i="1"/>
  <c r="H167" i="1"/>
  <c r="G167" i="1"/>
  <c r="C167" i="1" s="1"/>
  <c r="D167" i="1" s="1"/>
  <c r="E167" i="1" s="1"/>
  <c r="F167" i="1"/>
  <c r="B167" i="1"/>
  <c r="A167" i="1"/>
  <c r="AF166" i="1"/>
  <c r="AE166" i="1"/>
  <c r="I166" i="1" s="1"/>
  <c r="AD166" i="1"/>
  <c r="H166" i="1" s="1"/>
  <c r="AC166" i="1"/>
  <c r="G166" i="1" s="1"/>
  <c r="AB166" i="1"/>
  <c r="F166" i="1" s="1"/>
  <c r="K166" i="1"/>
  <c r="J166" i="1"/>
  <c r="B166" i="1"/>
  <c r="A166" i="1"/>
  <c r="AF165" i="1"/>
  <c r="AE165" i="1"/>
  <c r="AD165" i="1"/>
  <c r="AC165" i="1"/>
  <c r="AB165" i="1"/>
  <c r="K165" i="1"/>
  <c r="J165" i="1"/>
  <c r="I165" i="1"/>
  <c r="H165" i="1"/>
  <c r="G165" i="1"/>
  <c r="F165" i="1"/>
  <c r="C165" i="1" s="1"/>
  <c r="D165" i="1" s="1"/>
  <c r="E165" i="1" s="1"/>
  <c r="A165" i="1"/>
  <c r="B165" i="1" s="1"/>
  <c r="AF164" i="1"/>
  <c r="J164" i="1" s="1"/>
  <c r="AE164" i="1"/>
  <c r="I164" i="1" s="1"/>
  <c r="AD164" i="1"/>
  <c r="H164" i="1" s="1"/>
  <c r="AC164" i="1"/>
  <c r="AB164" i="1"/>
  <c r="K164" i="1"/>
  <c r="G164" i="1"/>
  <c r="F164" i="1"/>
  <c r="B164" i="1"/>
  <c r="A164" i="1"/>
  <c r="AF163" i="1"/>
  <c r="AE163" i="1"/>
  <c r="AD163" i="1"/>
  <c r="AC163" i="1"/>
  <c r="AB163" i="1"/>
  <c r="F163" i="1" s="1"/>
  <c r="K163" i="1"/>
  <c r="J163" i="1"/>
  <c r="I163" i="1"/>
  <c r="H163" i="1"/>
  <c r="G163" i="1"/>
  <c r="A163" i="1"/>
  <c r="B163" i="1" s="1"/>
  <c r="AF162" i="1"/>
  <c r="J162" i="1" s="1"/>
  <c r="AE162" i="1"/>
  <c r="I162" i="1" s="1"/>
  <c r="AD162" i="1"/>
  <c r="AC162" i="1"/>
  <c r="AB162" i="1"/>
  <c r="K162" i="1"/>
  <c r="H162" i="1"/>
  <c r="G162" i="1"/>
  <c r="F162" i="1"/>
  <c r="C162" i="1"/>
  <c r="D162" i="1" s="1"/>
  <c r="E162" i="1" s="1"/>
  <c r="B162" i="1"/>
  <c r="A162" i="1"/>
  <c r="AF161" i="1"/>
  <c r="J161" i="1" s="1"/>
  <c r="AE161" i="1"/>
  <c r="I161" i="1" s="1"/>
  <c r="AD161" i="1"/>
  <c r="H161" i="1" s="1"/>
  <c r="AC161" i="1"/>
  <c r="G161" i="1" s="1"/>
  <c r="AB161" i="1"/>
  <c r="F161" i="1" s="1"/>
  <c r="K161" i="1"/>
  <c r="B161" i="1"/>
  <c r="A161" i="1"/>
  <c r="AF160" i="1"/>
  <c r="AE160" i="1"/>
  <c r="AD160" i="1"/>
  <c r="H160" i="1" s="1"/>
  <c r="AC160" i="1"/>
  <c r="G160" i="1" s="1"/>
  <c r="AB160" i="1"/>
  <c r="F160" i="1" s="1"/>
  <c r="K160" i="1"/>
  <c r="J160" i="1"/>
  <c r="I160" i="1"/>
  <c r="A160" i="1"/>
  <c r="B160" i="1" s="1"/>
  <c r="AF159" i="1"/>
  <c r="J159" i="1" s="1"/>
  <c r="C159" i="1" s="1"/>
  <c r="D159" i="1" s="1"/>
  <c r="E159" i="1" s="1"/>
  <c r="AE159" i="1"/>
  <c r="AD159" i="1"/>
  <c r="H159" i="1" s="1"/>
  <c r="AC159" i="1"/>
  <c r="AB159" i="1"/>
  <c r="K159" i="1"/>
  <c r="I159" i="1"/>
  <c r="G159" i="1"/>
  <c r="F159" i="1"/>
  <c r="B159" i="1"/>
  <c r="A159" i="1"/>
  <c r="AF158" i="1"/>
  <c r="AE158" i="1"/>
  <c r="AD158" i="1"/>
  <c r="AC158" i="1"/>
  <c r="AB158" i="1"/>
  <c r="F158" i="1" s="1"/>
  <c r="C158" i="1" s="1"/>
  <c r="D158" i="1" s="1"/>
  <c r="E158" i="1" s="1"/>
  <c r="K158" i="1"/>
  <c r="J158" i="1"/>
  <c r="I158" i="1"/>
  <c r="H158" i="1"/>
  <c r="G158" i="1"/>
  <c r="A158" i="1"/>
  <c r="B158" i="1" s="1"/>
  <c r="AF157" i="1"/>
  <c r="J157" i="1" s="1"/>
  <c r="AE157" i="1"/>
  <c r="I157" i="1" s="1"/>
  <c r="AD157" i="1"/>
  <c r="H157" i="1" s="1"/>
  <c r="AC157" i="1"/>
  <c r="AB157" i="1"/>
  <c r="K157" i="1"/>
  <c r="G157" i="1"/>
  <c r="F157" i="1"/>
  <c r="A157" i="1"/>
  <c r="B157" i="1" s="1"/>
  <c r="AF156" i="1"/>
  <c r="AE156" i="1"/>
  <c r="I156" i="1" s="1"/>
  <c r="AD156" i="1"/>
  <c r="H156" i="1" s="1"/>
  <c r="AC156" i="1"/>
  <c r="G156" i="1" s="1"/>
  <c r="AB156" i="1"/>
  <c r="F156" i="1" s="1"/>
  <c r="K156" i="1"/>
  <c r="J156" i="1"/>
  <c r="C156" i="1"/>
  <c r="D156" i="1" s="1"/>
  <c r="E156" i="1" s="1"/>
  <c r="B156" i="1"/>
  <c r="A156" i="1"/>
  <c r="AF155" i="1"/>
  <c r="J155" i="1" s="1"/>
  <c r="AE155" i="1"/>
  <c r="I155" i="1" s="1"/>
  <c r="AD155" i="1"/>
  <c r="H155" i="1" s="1"/>
  <c r="AC155" i="1"/>
  <c r="G155" i="1" s="1"/>
  <c r="AB155" i="1"/>
  <c r="F155" i="1" s="1"/>
  <c r="K155" i="1"/>
  <c r="A155" i="1"/>
  <c r="B155" i="1" s="1"/>
  <c r="AF154" i="1"/>
  <c r="AE154" i="1"/>
  <c r="AD154" i="1"/>
  <c r="H154" i="1" s="1"/>
  <c r="AC154" i="1"/>
  <c r="AB154" i="1"/>
  <c r="F154" i="1" s="1"/>
  <c r="K154" i="1"/>
  <c r="J154" i="1"/>
  <c r="I154" i="1"/>
  <c r="G154" i="1"/>
  <c r="B154" i="1"/>
  <c r="A154" i="1"/>
  <c r="AF153" i="1"/>
  <c r="AE153" i="1"/>
  <c r="AD153" i="1"/>
  <c r="AC153" i="1"/>
  <c r="AB153" i="1"/>
  <c r="K153" i="1"/>
  <c r="J153" i="1"/>
  <c r="I153" i="1"/>
  <c r="H153" i="1"/>
  <c r="G153" i="1"/>
  <c r="F153" i="1"/>
  <c r="C153" i="1" s="1"/>
  <c r="D153" i="1" s="1"/>
  <c r="E153" i="1"/>
  <c r="A153" i="1"/>
  <c r="B153" i="1" s="1"/>
  <c r="AF152" i="1"/>
  <c r="J152" i="1" s="1"/>
  <c r="AE152" i="1"/>
  <c r="I152" i="1" s="1"/>
  <c r="AD152" i="1"/>
  <c r="AC152" i="1"/>
  <c r="AB152" i="1"/>
  <c r="K152" i="1"/>
  <c r="H152" i="1"/>
  <c r="G152" i="1"/>
  <c r="F152" i="1"/>
  <c r="C152" i="1"/>
  <c r="D152" i="1" s="1"/>
  <c r="E152" i="1" s="1"/>
  <c r="A152" i="1"/>
  <c r="B152" i="1" s="1"/>
  <c r="AF151" i="1"/>
  <c r="J151" i="1" s="1"/>
  <c r="AE151" i="1"/>
  <c r="I151" i="1" s="1"/>
  <c r="AD151" i="1"/>
  <c r="H151" i="1" s="1"/>
  <c r="AC151" i="1"/>
  <c r="G151" i="1" s="1"/>
  <c r="AB151" i="1"/>
  <c r="F151" i="1" s="1"/>
  <c r="K151" i="1"/>
  <c r="B151" i="1"/>
  <c r="A151" i="1"/>
  <c r="AF150" i="1"/>
  <c r="AE150" i="1"/>
  <c r="AD150" i="1"/>
  <c r="AC150" i="1"/>
  <c r="AB150" i="1"/>
  <c r="K150" i="1"/>
  <c r="J150" i="1"/>
  <c r="I150" i="1"/>
  <c r="H150" i="1"/>
  <c r="G150" i="1"/>
  <c r="F150" i="1"/>
  <c r="A150" i="1"/>
  <c r="B150" i="1" s="1"/>
  <c r="AF149" i="1"/>
  <c r="J149" i="1" s="1"/>
  <c r="AE149" i="1"/>
  <c r="I149" i="1" s="1"/>
  <c r="AD149" i="1"/>
  <c r="H149" i="1" s="1"/>
  <c r="AC149" i="1"/>
  <c r="AB149" i="1"/>
  <c r="F149" i="1" s="1"/>
  <c r="K149" i="1"/>
  <c r="G149" i="1"/>
  <c r="B149" i="1"/>
  <c r="A149" i="1"/>
  <c r="AF148" i="1"/>
  <c r="AE148" i="1"/>
  <c r="AD148" i="1"/>
  <c r="AC148" i="1"/>
  <c r="AB148" i="1"/>
  <c r="F148" i="1" s="1"/>
  <c r="C148" i="1" s="1"/>
  <c r="D148" i="1" s="1"/>
  <c r="E148" i="1" s="1"/>
  <c r="K148" i="1"/>
  <c r="J148" i="1"/>
  <c r="I148" i="1"/>
  <c r="H148" i="1"/>
  <c r="G148" i="1"/>
  <c r="A148" i="1"/>
  <c r="B148" i="1" s="1"/>
  <c r="AF147" i="1"/>
  <c r="J147" i="1" s="1"/>
  <c r="AE147" i="1"/>
  <c r="I147" i="1" s="1"/>
  <c r="AD147" i="1"/>
  <c r="AC147" i="1"/>
  <c r="AB147" i="1"/>
  <c r="K147" i="1"/>
  <c r="H147" i="1"/>
  <c r="G147" i="1"/>
  <c r="F147" i="1"/>
  <c r="B147" i="1"/>
  <c r="A147" i="1"/>
  <c r="AF146" i="1"/>
  <c r="AE146" i="1"/>
  <c r="I146" i="1" s="1"/>
  <c r="AD146" i="1"/>
  <c r="H146" i="1" s="1"/>
  <c r="AC146" i="1"/>
  <c r="G146" i="1" s="1"/>
  <c r="AB146" i="1"/>
  <c r="F146" i="1" s="1"/>
  <c r="K146" i="1"/>
  <c r="J146" i="1"/>
  <c r="C146" i="1" s="1"/>
  <c r="D146" i="1" s="1"/>
  <c r="E146" i="1" s="1"/>
  <c r="B146" i="1"/>
  <c r="A146" i="1"/>
  <c r="AF145" i="1"/>
  <c r="J145" i="1" s="1"/>
  <c r="AE145" i="1"/>
  <c r="I145" i="1" s="1"/>
  <c r="AD145" i="1"/>
  <c r="H145" i="1" s="1"/>
  <c r="AC145" i="1"/>
  <c r="G145" i="1" s="1"/>
  <c r="AB145" i="1"/>
  <c r="F145" i="1" s="1"/>
  <c r="K145" i="1"/>
  <c r="A145" i="1"/>
  <c r="B145" i="1" s="1"/>
  <c r="AF144" i="1"/>
  <c r="AE144" i="1"/>
  <c r="AD144" i="1"/>
  <c r="AC144" i="1"/>
  <c r="AB144" i="1"/>
  <c r="K144" i="1"/>
  <c r="J144" i="1"/>
  <c r="I144" i="1"/>
  <c r="H144" i="1"/>
  <c r="G144" i="1"/>
  <c r="F144" i="1"/>
  <c r="C144" i="1" s="1"/>
  <c r="D144" i="1" s="1"/>
  <c r="E144" i="1" s="1"/>
  <c r="B144" i="1"/>
  <c r="A144" i="1"/>
  <c r="AF143" i="1"/>
  <c r="AE143" i="1"/>
  <c r="AD143" i="1"/>
  <c r="AC143" i="1"/>
  <c r="AB143" i="1"/>
  <c r="K143" i="1"/>
  <c r="J143" i="1"/>
  <c r="I143" i="1"/>
  <c r="H143" i="1"/>
  <c r="G143" i="1"/>
  <c r="F143" i="1"/>
  <c r="C143" i="1"/>
  <c r="D143" i="1" s="1"/>
  <c r="E143" i="1" s="1"/>
  <c r="A143" i="1"/>
  <c r="B143" i="1" s="1"/>
  <c r="AF142" i="1"/>
  <c r="J142" i="1" s="1"/>
  <c r="AE142" i="1"/>
  <c r="I142" i="1" s="1"/>
  <c r="AD142" i="1"/>
  <c r="H142" i="1" s="1"/>
  <c r="C142" i="1" s="1"/>
  <c r="D142" i="1" s="1"/>
  <c r="E142" i="1" s="1"/>
  <c r="AC142" i="1"/>
  <c r="AB142" i="1"/>
  <c r="K142" i="1"/>
  <c r="G142" i="1"/>
  <c r="F142" i="1"/>
  <c r="B142" i="1"/>
  <c r="A142" i="1"/>
  <c r="AF141" i="1"/>
  <c r="AE141" i="1"/>
  <c r="I141" i="1" s="1"/>
  <c r="AD141" i="1"/>
  <c r="H141" i="1" s="1"/>
  <c r="AC141" i="1"/>
  <c r="G141" i="1" s="1"/>
  <c r="AB141" i="1"/>
  <c r="F141" i="1" s="1"/>
  <c r="K141" i="1"/>
  <c r="J141" i="1"/>
  <c r="B141" i="1"/>
  <c r="A141" i="1"/>
  <c r="AF140" i="1"/>
  <c r="J140" i="1" s="1"/>
  <c r="AE140" i="1"/>
  <c r="AD140" i="1"/>
  <c r="H140" i="1" s="1"/>
  <c r="AC140" i="1"/>
  <c r="AB140" i="1"/>
  <c r="K140" i="1"/>
  <c r="I140" i="1"/>
  <c r="G140" i="1"/>
  <c r="F140" i="1"/>
  <c r="A140" i="1"/>
  <c r="B140" i="1" s="1"/>
  <c r="AF139" i="1"/>
  <c r="J139" i="1" s="1"/>
  <c r="AE139" i="1"/>
  <c r="I139" i="1" s="1"/>
  <c r="AD139" i="1"/>
  <c r="H139" i="1" s="1"/>
  <c r="AC139" i="1"/>
  <c r="AB139" i="1"/>
  <c r="F139" i="1" s="1"/>
  <c r="C139" i="1" s="1"/>
  <c r="D139" i="1" s="1"/>
  <c r="E139" i="1" s="1"/>
  <c r="K139" i="1"/>
  <c r="G139" i="1"/>
  <c r="B139" i="1"/>
  <c r="A139" i="1"/>
  <c r="AF138" i="1"/>
  <c r="AE138" i="1"/>
  <c r="AD138" i="1"/>
  <c r="AC138" i="1"/>
  <c r="AB138" i="1"/>
  <c r="F138" i="1" s="1"/>
  <c r="C138" i="1" s="1"/>
  <c r="D138" i="1" s="1"/>
  <c r="E138" i="1" s="1"/>
  <c r="K138" i="1"/>
  <c r="J138" i="1"/>
  <c r="I138" i="1"/>
  <c r="H138" i="1"/>
  <c r="G138" i="1"/>
  <c r="B138" i="1"/>
  <c r="A138" i="1"/>
  <c r="AF137" i="1"/>
  <c r="J137" i="1" s="1"/>
  <c r="AE137" i="1"/>
  <c r="I137" i="1" s="1"/>
  <c r="AD137" i="1"/>
  <c r="AC137" i="1"/>
  <c r="AB137" i="1"/>
  <c r="K137" i="1"/>
  <c r="H137" i="1"/>
  <c r="G137" i="1"/>
  <c r="F137" i="1"/>
  <c r="C137" i="1"/>
  <c r="D137" i="1" s="1"/>
  <c r="E137" i="1" s="1"/>
  <c r="B137" i="1"/>
  <c r="A137" i="1"/>
  <c r="AF136" i="1"/>
  <c r="J136" i="1" s="1"/>
  <c r="AE136" i="1"/>
  <c r="I136" i="1" s="1"/>
  <c r="AD136" i="1"/>
  <c r="H136" i="1" s="1"/>
  <c r="AC136" i="1"/>
  <c r="G136" i="1" s="1"/>
  <c r="C136" i="1" s="1"/>
  <c r="D136" i="1" s="1"/>
  <c r="E136" i="1" s="1"/>
  <c r="AB136" i="1"/>
  <c r="F136" i="1" s="1"/>
  <c r="K136" i="1"/>
  <c r="B136" i="1"/>
  <c r="A136" i="1"/>
  <c r="AF135" i="1"/>
  <c r="AE135" i="1"/>
  <c r="AD135" i="1"/>
  <c r="H135" i="1" s="1"/>
  <c r="AC135" i="1"/>
  <c r="G135" i="1" s="1"/>
  <c r="AB135" i="1"/>
  <c r="F135" i="1" s="1"/>
  <c r="K135" i="1"/>
  <c r="J135" i="1"/>
  <c r="I135" i="1"/>
  <c r="A135" i="1"/>
  <c r="B135" i="1" s="1"/>
  <c r="AF134" i="1"/>
  <c r="J134" i="1" s="1"/>
  <c r="AE134" i="1"/>
  <c r="AD134" i="1"/>
  <c r="H134" i="1" s="1"/>
  <c r="C134" i="1" s="1"/>
  <c r="D134" i="1" s="1"/>
  <c r="E134" i="1" s="1"/>
  <c r="AC134" i="1"/>
  <c r="AB134" i="1"/>
  <c r="K134" i="1"/>
  <c r="I134" i="1"/>
  <c r="G134" i="1"/>
  <c r="F134" i="1"/>
  <c r="B134" i="1"/>
  <c r="A134" i="1"/>
  <c r="AF133" i="1"/>
  <c r="AE133" i="1"/>
  <c r="AD133" i="1"/>
  <c r="AC133" i="1"/>
  <c r="AB133" i="1"/>
  <c r="F133" i="1" s="1"/>
  <c r="C133" i="1" s="1"/>
  <c r="D133" i="1" s="1"/>
  <c r="E133" i="1" s="1"/>
  <c r="K133" i="1"/>
  <c r="J133" i="1"/>
  <c r="I133" i="1"/>
  <c r="H133" i="1"/>
  <c r="G133" i="1"/>
  <c r="A133" i="1"/>
  <c r="B133" i="1" s="1"/>
  <c r="AF132" i="1"/>
  <c r="J132" i="1" s="1"/>
  <c r="AE132" i="1"/>
  <c r="I132" i="1" s="1"/>
  <c r="AD132" i="1"/>
  <c r="H132" i="1" s="1"/>
  <c r="AC132" i="1"/>
  <c r="AB132" i="1"/>
  <c r="K132" i="1"/>
  <c r="G132" i="1"/>
  <c r="F132" i="1"/>
  <c r="A132" i="1"/>
  <c r="B132" i="1" s="1"/>
  <c r="AF131" i="1"/>
  <c r="AE131" i="1"/>
  <c r="I131" i="1" s="1"/>
  <c r="AD131" i="1"/>
  <c r="H131" i="1" s="1"/>
  <c r="AC131" i="1"/>
  <c r="G131" i="1" s="1"/>
  <c r="AB131" i="1"/>
  <c r="F131" i="1" s="1"/>
  <c r="K131" i="1"/>
  <c r="J131" i="1"/>
  <c r="C131" i="1"/>
  <c r="D131" i="1" s="1"/>
  <c r="E131" i="1" s="1"/>
  <c r="B131" i="1"/>
  <c r="A131" i="1"/>
  <c r="AF130" i="1"/>
  <c r="J130" i="1" s="1"/>
  <c r="AE130" i="1"/>
  <c r="I130" i="1" s="1"/>
  <c r="AD130" i="1"/>
  <c r="H130" i="1" s="1"/>
  <c r="AC130" i="1"/>
  <c r="G130" i="1" s="1"/>
  <c r="AB130" i="1"/>
  <c r="F130" i="1" s="1"/>
  <c r="K130" i="1"/>
  <c r="A130" i="1"/>
  <c r="B130" i="1" s="1"/>
  <c r="AF129" i="1"/>
  <c r="AE129" i="1"/>
  <c r="AD129" i="1"/>
  <c r="H129" i="1" s="1"/>
  <c r="AC129" i="1"/>
  <c r="AB129" i="1"/>
  <c r="F129" i="1" s="1"/>
  <c r="C129" i="1" s="1"/>
  <c r="D129" i="1" s="1"/>
  <c r="E129" i="1" s="1"/>
  <c r="K129" i="1"/>
  <c r="J129" i="1"/>
  <c r="I129" i="1"/>
  <c r="G129" i="1"/>
  <c r="B129" i="1"/>
  <c r="A129" i="1"/>
  <c r="AF128" i="1"/>
  <c r="AE128" i="1"/>
  <c r="AD128" i="1"/>
  <c r="AC128" i="1"/>
  <c r="AB128" i="1"/>
  <c r="K128" i="1"/>
  <c r="J128" i="1"/>
  <c r="I128" i="1"/>
  <c r="H128" i="1"/>
  <c r="G128" i="1"/>
  <c r="F128" i="1"/>
  <c r="C128" i="1" s="1"/>
  <c r="D128" i="1" s="1"/>
  <c r="E128" i="1" s="1"/>
  <c r="A128" i="1"/>
  <c r="B128" i="1" s="1"/>
  <c r="AF127" i="1"/>
  <c r="J127" i="1" s="1"/>
  <c r="AE127" i="1"/>
  <c r="I127" i="1" s="1"/>
  <c r="AD127" i="1"/>
  <c r="AC127" i="1"/>
  <c r="AB127" i="1"/>
  <c r="K127" i="1"/>
  <c r="H127" i="1"/>
  <c r="G127" i="1"/>
  <c r="F127" i="1"/>
  <c r="C127" i="1"/>
  <c r="D127" i="1" s="1"/>
  <c r="E127" i="1" s="1"/>
  <c r="A127" i="1"/>
  <c r="B127" i="1" s="1"/>
  <c r="AF126" i="1"/>
  <c r="J126" i="1" s="1"/>
  <c r="AE126" i="1"/>
  <c r="I126" i="1" s="1"/>
  <c r="AD126" i="1"/>
  <c r="H126" i="1" s="1"/>
  <c r="AC126" i="1"/>
  <c r="G126" i="1" s="1"/>
  <c r="AB126" i="1"/>
  <c r="F126" i="1" s="1"/>
  <c r="K126" i="1"/>
  <c r="B126" i="1"/>
  <c r="A126" i="1"/>
  <c r="AF125" i="1"/>
  <c r="AE125" i="1"/>
  <c r="AD125" i="1"/>
  <c r="AC125" i="1"/>
  <c r="AB125" i="1"/>
  <c r="K125" i="1"/>
  <c r="J125" i="1"/>
  <c r="I125" i="1"/>
  <c r="H125" i="1"/>
  <c r="G125" i="1"/>
  <c r="F125" i="1"/>
  <c r="A125" i="1"/>
  <c r="B125" i="1" s="1"/>
  <c r="AF124" i="1"/>
  <c r="J124" i="1" s="1"/>
  <c r="AE124" i="1"/>
  <c r="I124" i="1" s="1"/>
  <c r="AD124" i="1"/>
  <c r="H124" i="1" s="1"/>
  <c r="AC124" i="1"/>
  <c r="AB124" i="1"/>
  <c r="F124" i="1" s="1"/>
  <c r="K124" i="1"/>
  <c r="G124" i="1"/>
  <c r="A124" i="1"/>
  <c r="B124" i="1" s="1"/>
  <c r="AF123" i="1"/>
  <c r="AE123" i="1"/>
  <c r="AD123" i="1"/>
  <c r="AC123" i="1"/>
  <c r="AB123" i="1"/>
  <c r="F123" i="1" s="1"/>
  <c r="C123" i="1" s="1"/>
  <c r="D123" i="1" s="1"/>
  <c r="E123" i="1" s="1"/>
  <c r="K123" i="1"/>
  <c r="J123" i="1"/>
  <c r="I123" i="1"/>
  <c r="H123" i="1"/>
  <c r="G123" i="1"/>
  <c r="A123" i="1"/>
  <c r="B123" i="1" s="1"/>
  <c r="AF122" i="1"/>
  <c r="J122" i="1" s="1"/>
  <c r="AE122" i="1"/>
  <c r="I122" i="1" s="1"/>
  <c r="AD122" i="1"/>
  <c r="H122" i="1" s="1"/>
  <c r="AC122" i="1"/>
  <c r="G122" i="1" s="1"/>
  <c r="AB122" i="1"/>
  <c r="K122" i="1"/>
  <c r="F122" i="1"/>
  <c r="A122" i="1"/>
  <c r="B122" i="1" s="1"/>
  <c r="AF121" i="1"/>
  <c r="AE121" i="1"/>
  <c r="AD121" i="1"/>
  <c r="H121" i="1" s="1"/>
  <c r="AC121" i="1"/>
  <c r="G121" i="1" s="1"/>
  <c r="AB121" i="1"/>
  <c r="F121" i="1" s="1"/>
  <c r="K121" i="1"/>
  <c r="J121" i="1"/>
  <c r="I121" i="1"/>
  <c r="C121" i="1"/>
  <c r="D121" i="1" s="1"/>
  <c r="E121" i="1" s="1"/>
  <c r="B121" i="1"/>
  <c r="A121" i="1"/>
  <c r="AF120" i="1"/>
  <c r="J120" i="1" s="1"/>
  <c r="AE120" i="1"/>
  <c r="I120" i="1" s="1"/>
  <c r="AD120" i="1"/>
  <c r="H120" i="1" s="1"/>
  <c r="AC120" i="1"/>
  <c r="G120" i="1" s="1"/>
  <c r="AB120" i="1"/>
  <c r="F120" i="1" s="1"/>
  <c r="K120" i="1"/>
  <c r="A120" i="1"/>
  <c r="B120" i="1" s="1"/>
  <c r="AF119" i="1"/>
  <c r="AE119" i="1"/>
  <c r="AD119" i="1"/>
  <c r="H119" i="1" s="1"/>
  <c r="AC119" i="1"/>
  <c r="AB119" i="1"/>
  <c r="F119" i="1" s="1"/>
  <c r="K119" i="1"/>
  <c r="J119" i="1"/>
  <c r="I119" i="1"/>
  <c r="G119" i="1"/>
  <c r="B119" i="1"/>
  <c r="A119" i="1"/>
  <c r="AF118" i="1"/>
  <c r="AE118" i="1"/>
  <c r="AD118" i="1"/>
  <c r="AC118" i="1"/>
  <c r="AB118" i="1"/>
  <c r="K118" i="1"/>
  <c r="J118" i="1"/>
  <c r="I118" i="1"/>
  <c r="H118" i="1"/>
  <c r="G118" i="1"/>
  <c r="F118" i="1"/>
  <c r="C118" i="1" s="1"/>
  <c r="D118" i="1" s="1"/>
  <c r="E118" i="1" s="1"/>
  <c r="A118" i="1"/>
  <c r="B118" i="1" s="1"/>
  <c r="AF117" i="1"/>
  <c r="J117" i="1" s="1"/>
  <c r="AE117" i="1"/>
  <c r="I117" i="1" s="1"/>
  <c r="AD117" i="1"/>
  <c r="AC117" i="1"/>
  <c r="AB117" i="1"/>
  <c r="K117" i="1"/>
  <c r="H117" i="1"/>
  <c r="G117" i="1"/>
  <c r="F117" i="1"/>
  <c r="C117" i="1"/>
  <c r="D117" i="1" s="1"/>
  <c r="E117" i="1" s="1"/>
  <c r="A117" i="1"/>
  <c r="B117" i="1" s="1"/>
  <c r="AF116" i="1"/>
  <c r="J116" i="1" s="1"/>
  <c r="AE116" i="1"/>
  <c r="I116" i="1" s="1"/>
  <c r="AD116" i="1"/>
  <c r="H116" i="1" s="1"/>
  <c r="AC116" i="1"/>
  <c r="G116" i="1" s="1"/>
  <c r="AB116" i="1"/>
  <c r="F116" i="1" s="1"/>
  <c r="K116" i="1"/>
  <c r="B116" i="1"/>
  <c r="A116" i="1"/>
  <c r="AF115" i="1"/>
  <c r="AE115" i="1"/>
  <c r="AD115" i="1"/>
  <c r="AC115" i="1"/>
  <c r="AB115" i="1"/>
  <c r="K115" i="1"/>
  <c r="J115" i="1"/>
  <c r="I115" i="1"/>
  <c r="H115" i="1"/>
  <c r="G115" i="1"/>
  <c r="F115" i="1"/>
  <c r="A115" i="1"/>
  <c r="B115" i="1" s="1"/>
  <c r="AF114" i="1"/>
  <c r="J114" i="1" s="1"/>
  <c r="AE114" i="1"/>
  <c r="I114" i="1" s="1"/>
  <c r="AD114" i="1"/>
  <c r="H114" i="1" s="1"/>
  <c r="AC114" i="1"/>
  <c r="AB114" i="1"/>
  <c r="F114" i="1" s="1"/>
  <c r="K114" i="1"/>
  <c r="G114" i="1"/>
  <c r="A114" i="1"/>
  <c r="B114" i="1" s="1"/>
  <c r="AF113" i="1"/>
  <c r="AE113" i="1"/>
  <c r="AD113" i="1"/>
  <c r="AC113" i="1"/>
  <c r="AB113" i="1"/>
  <c r="F113" i="1" s="1"/>
  <c r="C113" i="1" s="1"/>
  <c r="D113" i="1" s="1"/>
  <c r="E113" i="1" s="1"/>
  <c r="K113" i="1"/>
  <c r="J113" i="1"/>
  <c r="I113" i="1"/>
  <c r="H113" i="1"/>
  <c r="G113" i="1"/>
  <c r="A113" i="1"/>
  <c r="B113" i="1" s="1"/>
  <c r="AF112" i="1"/>
  <c r="J112" i="1" s="1"/>
  <c r="AE112" i="1"/>
  <c r="I112" i="1" s="1"/>
  <c r="AD112" i="1"/>
  <c r="H112" i="1" s="1"/>
  <c r="AC112" i="1"/>
  <c r="G112" i="1" s="1"/>
  <c r="AB112" i="1"/>
  <c r="K112" i="1"/>
  <c r="F112" i="1"/>
  <c r="B112" i="1"/>
  <c r="A112" i="1"/>
  <c r="AF111" i="1"/>
  <c r="AE111" i="1"/>
  <c r="AD111" i="1"/>
  <c r="H111" i="1" s="1"/>
  <c r="AC111" i="1"/>
  <c r="G111" i="1" s="1"/>
  <c r="AB111" i="1"/>
  <c r="F111" i="1" s="1"/>
  <c r="K111" i="1"/>
  <c r="J111" i="1"/>
  <c r="I111" i="1"/>
  <c r="C111" i="1"/>
  <c r="D111" i="1" s="1"/>
  <c r="E111" i="1" s="1"/>
  <c r="A111" i="1"/>
  <c r="B111" i="1" s="1"/>
  <c r="AF110" i="1"/>
  <c r="J110" i="1" s="1"/>
  <c r="AE110" i="1"/>
  <c r="I110" i="1" s="1"/>
  <c r="AD110" i="1"/>
  <c r="H110" i="1" s="1"/>
  <c r="AC110" i="1"/>
  <c r="G110" i="1" s="1"/>
  <c r="AB110" i="1"/>
  <c r="F110" i="1" s="1"/>
  <c r="K110" i="1"/>
  <c r="A110" i="1"/>
  <c r="B110" i="1" s="1"/>
  <c r="AF109" i="1"/>
  <c r="AE109" i="1"/>
  <c r="I109" i="1" s="1"/>
  <c r="AD109" i="1"/>
  <c r="H109" i="1" s="1"/>
  <c r="AC109" i="1"/>
  <c r="G109" i="1" s="1"/>
  <c r="AB109" i="1"/>
  <c r="F109" i="1" s="1"/>
  <c r="K109" i="1"/>
  <c r="J109" i="1"/>
  <c r="A109" i="1"/>
  <c r="B109" i="1" s="1"/>
  <c r="AF108" i="1"/>
  <c r="AE108" i="1"/>
  <c r="AD108" i="1"/>
  <c r="AC108" i="1"/>
  <c r="AB108" i="1"/>
  <c r="K108" i="1"/>
  <c r="J108" i="1"/>
  <c r="I108" i="1"/>
  <c r="H108" i="1"/>
  <c r="G108" i="1"/>
  <c r="F108" i="1"/>
  <c r="B108" i="1"/>
  <c r="A108" i="1"/>
  <c r="AF107" i="1"/>
  <c r="J107" i="1" s="1"/>
  <c r="AE107" i="1"/>
  <c r="I107" i="1" s="1"/>
  <c r="AD107" i="1"/>
  <c r="AC107" i="1"/>
  <c r="G107" i="1" s="1"/>
  <c r="C107" i="1" s="1"/>
  <c r="D107" i="1" s="1"/>
  <c r="E107" i="1" s="1"/>
  <c r="AB107" i="1"/>
  <c r="K107" i="1"/>
  <c r="H107" i="1"/>
  <c r="F107" i="1"/>
  <c r="A107" i="1"/>
  <c r="B107" i="1" s="1"/>
  <c r="AF106" i="1"/>
  <c r="J106" i="1" s="1"/>
  <c r="AE106" i="1"/>
  <c r="I106" i="1" s="1"/>
  <c r="AD106" i="1"/>
  <c r="H106" i="1" s="1"/>
  <c r="AC106" i="1"/>
  <c r="G106" i="1" s="1"/>
  <c r="AB106" i="1"/>
  <c r="F106" i="1" s="1"/>
  <c r="K106" i="1"/>
  <c r="A106" i="1"/>
  <c r="B106" i="1" s="1"/>
  <c r="AF105" i="1"/>
  <c r="AE105" i="1"/>
  <c r="AD105" i="1"/>
  <c r="AC105" i="1"/>
  <c r="G105" i="1" s="1"/>
  <c r="AB105" i="1"/>
  <c r="F105" i="1" s="1"/>
  <c r="K105" i="1"/>
  <c r="J105" i="1"/>
  <c r="I105" i="1"/>
  <c r="H105" i="1"/>
  <c r="A105" i="1"/>
  <c r="B105" i="1" s="1"/>
  <c r="AF104" i="1"/>
  <c r="J104" i="1" s="1"/>
  <c r="AE104" i="1"/>
  <c r="AD104" i="1"/>
  <c r="H104" i="1" s="1"/>
  <c r="C104" i="1" s="1"/>
  <c r="D104" i="1" s="1"/>
  <c r="E104" i="1" s="1"/>
  <c r="AC104" i="1"/>
  <c r="AB104" i="1"/>
  <c r="K104" i="1"/>
  <c r="I104" i="1"/>
  <c r="G104" i="1"/>
  <c r="F104" i="1"/>
  <c r="B104" i="1"/>
  <c r="A104" i="1"/>
  <c r="AF103" i="1"/>
  <c r="AE103" i="1"/>
  <c r="AD103" i="1"/>
  <c r="AC103" i="1"/>
  <c r="AB103" i="1"/>
  <c r="F103" i="1" s="1"/>
  <c r="C103" i="1" s="1"/>
  <c r="D103" i="1" s="1"/>
  <c r="E103" i="1" s="1"/>
  <c r="K103" i="1"/>
  <c r="J103" i="1"/>
  <c r="I103" i="1"/>
  <c r="H103" i="1"/>
  <c r="G103" i="1"/>
  <c r="A103" i="1"/>
  <c r="B103" i="1" s="1"/>
  <c r="AF102" i="1"/>
  <c r="J102" i="1" s="1"/>
  <c r="AE102" i="1"/>
  <c r="I102" i="1" s="1"/>
  <c r="AD102" i="1"/>
  <c r="H102" i="1" s="1"/>
  <c r="AC102" i="1"/>
  <c r="G102" i="1" s="1"/>
  <c r="AB102" i="1"/>
  <c r="K102" i="1"/>
  <c r="F102" i="1"/>
  <c r="A102" i="1"/>
  <c r="B102" i="1" s="1"/>
  <c r="AF101" i="1"/>
  <c r="AE101" i="1"/>
  <c r="AD101" i="1"/>
  <c r="H101" i="1" s="1"/>
  <c r="AC101" i="1"/>
  <c r="G101" i="1" s="1"/>
  <c r="AB101" i="1"/>
  <c r="F101" i="1" s="1"/>
  <c r="K101" i="1"/>
  <c r="J101" i="1"/>
  <c r="I101" i="1"/>
  <c r="A101" i="1"/>
  <c r="B101" i="1" s="1"/>
  <c r="AF100" i="1"/>
  <c r="J100" i="1" s="1"/>
  <c r="AE100" i="1"/>
  <c r="AD100" i="1"/>
  <c r="H100" i="1" s="1"/>
  <c r="AC100" i="1"/>
  <c r="AB100" i="1"/>
  <c r="K100" i="1"/>
  <c r="I100" i="1"/>
  <c r="G100" i="1"/>
  <c r="F100" i="1"/>
  <c r="A100" i="1"/>
  <c r="B100" i="1" s="1"/>
  <c r="AF99" i="1"/>
  <c r="J99" i="1" s="1"/>
  <c r="AE99" i="1"/>
  <c r="I99" i="1" s="1"/>
  <c r="AD99" i="1"/>
  <c r="H99" i="1" s="1"/>
  <c r="AC99" i="1"/>
  <c r="G99" i="1" s="1"/>
  <c r="AB99" i="1"/>
  <c r="F99" i="1" s="1"/>
  <c r="C99" i="1" s="1"/>
  <c r="D99" i="1" s="1"/>
  <c r="E99" i="1" s="1"/>
  <c r="K99" i="1"/>
  <c r="B99" i="1"/>
  <c r="A99" i="1"/>
  <c r="AF98" i="1"/>
  <c r="AE98" i="1"/>
  <c r="AD98" i="1"/>
  <c r="AC98" i="1"/>
  <c r="G98" i="1" s="1"/>
  <c r="AB98" i="1"/>
  <c r="F98" i="1" s="1"/>
  <c r="K98" i="1"/>
  <c r="J98" i="1"/>
  <c r="I98" i="1"/>
  <c r="H98" i="1"/>
  <c r="A98" i="1"/>
  <c r="B98" i="1" s="1"/>
  <c r="AF97" i="1"/>
  <c r="J97" i="1" s="1"/>
  <c r="AE97" i="1"/>
  <c r="AD97" i="1"/>
  <c r="AC97" i="1"/>
  <c r="AB97" i="1"/>
  <c r="K97" i="1"/>
  <c r="I97" i="1"/>
  <c r="H97" i="1"/>
  <c r="G97" i="1"/>
  <c r="F97" i="1"/>
  <c r="C97" i="1" s="1"/>
  <c r="D97" i="1" s="1"/>
  <c r="E97" i="1"/>
  <c r="A97" i="1"/>
  <c r="B97" i="1" s="1"/>
  <c r="AF96" i="1"/>
  <c r="J96" i="1" s="1"/>
  <c r="C96" i="1" s="1"/>
  <c r="D96" i="1" s="1"/>
  <c r="E96" i="1" s="1"/>
  <c r="AE96" i="1"/>
  <c r="AD96" i="1"/>
  <c r="H96" i="1" s="1"/>
  <c r="AC96" i="1"/>
  <c r="G96" i="1" s="1"/>
  <c r="AB96" i="1"/>
  <c r="F96" i="1" s="1"/>
  <c r="K96" i="1"/>
  <c r="I96" i="1"/>
  <c r="A96" i="1"/>
  <c r="B96" i="1" s="1"/>
  <c r="AF95" i="1"/>
  <c r="J95" i="1" s="1"/>
  <c r="AE95" i="1"/>
  <c r="I95" i="1" s="1"/>
  <c r="AD95" i="1"/>
  <c r="H95" i="1" s="1"/>
  <c r="AC95" i="1"/>
  <c r="G95" i="1" s="1"/>
  <c r="AB95" i="1"/>
  <c r="F95" i="1" s="1"/>
  <c r="K95" i="1"/>
  <c r="A95" i="1"/>
  <c r="B95" i="1" s="1"/>
  <c r="AF94" i="1"/>
  <c r="AE94" i="1"/>
  <c r="AD94" i="1"/>
  <c r="AC94" i="1"/>
  <c r="AB94" i="1"/>
  <c r="F94" i="1" s="1"/>
  <c r="K94" i="1"/>
  <c r="J94" i="1"/>
  <c r="I94" i="1"/>
  <c r="H94" i="1"/>
  <c r="G94" i="1"/>
  <c r="B94" i="1"/>
  <c r="A94" i="1"/>
  <c r="AF93" i="1"/>
  <c r="AE93" i="1"/>
  <c r="AD93" i="1"/>
  <c r="AC93" i="1"/>
  <c r="AB93" i="1"/>
  <c r="K93" i="1"/>
  <c r="J93" i="1"/>
  <c r="I93" i="1"/>
  <c r="H93" i="1"/>
  <c r="G93" i="1"/>
  <c r="F93" i="1"/>
  <c r="C93" i="1"/>
  <c r="D93" i="1" s="1"/>
  <c r="E93" i="1" s="1"/>
  <c r="A93" i="1"/>
  <c r="B93" i="1" s="1"/>
  <c r="AF92" i="1"/>
  <c r="J92" i="1" s="1"/>
  <c r="AE92" i="1"/>
  <c r="I92" i="1" s="1"/>
  <c r="AD92" i="1"/>
  <c r="H92" i="1" s="1"/>
  <c r="AC92" i="1"/>
  <c r="AB92" i="1"/>
  <c r="K92" i="1"/>
  <c r="G92" i="1"/>
  <c r="F92" i="1"/>
  <c r="A92" i="1"/>
  <c r="B92" i="1" s="1"/>
  <c r="AF91" i="1"/>
  <c r="J91" i="1" s="1"/>
  <c r="AE91" i="1"/>
  <c r="I91" i="1" s="1"/>
  <c r="AD91" i="1"/>
  <c r="H91" i="1" s="1"/>
  <c r="AC91" i="1"/>
  <c r="G91" i="1" s="1"/>
  <c r="AB91" i="1"/>
  <c r="F91" i="1" s="1"/>
  <c r="C91" i="1" s="1"/>
  <c r="D91" i="1" s="1"/>
  <c r="E91" i="1" s="1"/>
  <c r="K91" i="1"/>
  <c r="B91" i="1"/>
  <c r="A91" i="1"/>
  <c r="AF90" i="1"/>
  <c r="AE90" i="1"/>
  <c r="AD90" i="1"/>
  <c r="AC90" i="1"/>
  <c r="AB90" i="1"/>
  <c r="F90" i="1" s="1"/>
  <c r="C90" i="1" s="1"/>
  <c r="D90" i="1" s="1"/>
  <c r="E90" i="1" s="1"/>
  <c r="K90" i="1"/>
  <c r="J90" i="1"/>
  <c r="I90" i="1"/>
  <c r="H90" i="1"/>
  <c r="G90" i="1"/>
  <c r="A90" i="1"/>
  <c r="B90" i="1" s="1"/>
  <c r="AF89" i="1"/>
  <c r="J89" i="1" s="1"/>
  <c r="AE89" i="1"/>
  <c r="I89" i="1" s="1"/>
  <c r="AD89" i="1"/>
  <c r="AC89" i="1"/>
  <c r="G89" i="1" s="1"/>
  <c r="C89" i="1" s="1"/>
  <c r="D89" i="1" s="1"/>
  <c r="E89" i="1" s="1"/>
  <c r="AB89" i="1"/>
  <c r="K89" i="1"/>
  <c r="H89" i="1"/>
  <c r="F89" i="1"/>
  <c r="A89" i="1"/>
  <c r="B89" i="1" s="1"/>
  <c r="AF88" i="1"/>
  <c r="AE88" i="1"/>
  <c r="AD88" i="1"/>
  <c r="AC88" i="1"/>
  <c r="G88" i="1" s="1"/>
  <c r="AB88" i="1"/>
  <c r="F88" i="1" s="1"/>
  <c r="K88" i="1"/>
  <c r="J88" i="1"/>
  <c r="I88" i="1"/>
  <c r="H88" i="1"/>
  <c r="A88" i="1"/>
  <c r="B88" i="1" s="1"/>
  <c r="AF87" i="1"/>
  <c r="J87" i="1" s="1"/>
  <c r="AE87" i="1"/>
  <c r="I87" i="1" s="1"/>
  <c r="AD87" i="1"/>
  <c r="H87" i="1" s="1"/>
  <c r="AC87" i="1"/>
  <c r="G87" i="1" s="1"/>
  <c r="AB87" i="1"/>
  <c r="K87" i="1"/>
  <c r="F87" i="1"/>
  <c r="B87" i="1"/>
  <c r="A87" i="1"/>
  <c r="AF86" i="1"/>
  <c r="AE86" i="1"/>
  <c r="AD86" i="1"/>
  <c r="H86" i="1" s="1"/>
  <c r="AC86" i="1"/>
  <c r="G86" i="1" s="1"/>
  <c r="AB86" i="1"/>
  <c r="F86" i="1" s="1"/>
  <c r="C86" i="1" s="1"/>
  <c r="D86" i="1" s="1"/>
  <c r="E86" i="1" s="1"/>
  <c r="K86" i="1"/>
  <c r="J86" i="1"/>
  <c r="I86" i="1"/>
  <c r="B86" i="1"/>
  <c r="A86" i="1"/>
  <c r="AF85" i="1"/>
  <c r="J85" i="1" s="1"/>
  <c r="AE85" i="1"/>
  <c r="I85" i="1" s="1"/>
  <c r="AD85" i="1"/>
  <c r="AC85" i="1"/>
  <c r="G85" i="1" s="1"/>
  <c r="AB85" i="1"/>
  <c r="K85" i="1"/>
  <c r="H85" i="1"/>
  <c r="F85" i="1"/>
  <c r="A85" i="1"/>
  <c r="B85" i="1" s="1"/>
  <c r="AF84" i="1"/>
  <c r="J84" i="1" s="1"/>
  <c r="AE84" i="1"/>
  <c r="I84" i="1" s="1"/>
  <c r="AD84" i="1"/>
  <c r="H84" i="1" s="1"/>
  <c r="AC84" i="1"/>
  <c r="G84" i="1" s="1"/>
  <c r="AB84" i="1"/>
  <c r="F84" i="1" s="1"/>
  <c r="K84" i="1"/>
  <c r="A84" i="1"/>
  <c r="B84" i="1" s="1"/>
  <c r="AF83" i="1"/>
  <c r="AE83" i="1"/>
  <c r="AD83" i="1"/>
  <c r="AC83" i="1"/>
  <c r="AB83" i="1"/>
  <c r="F83" i="1" s="1"/>
  <c r="K83" i="1"/>
  <c r="J83" i="1"/>
  <c r="I83" i="1"/>
  <c r="H83" i="1"/>
  <c r="G83" i="1"/>
  <c r="B83" i="1"/>
  <c r="A83" i="1"/>
  <c r="AF82" i="1"/>
  <c r="J82" i="1" s="1"/>
  <c r="AE82" i="1"/>
  <c r="AD82" i="1"/>
  <c r="AC82" i="1"/>
  <c r="AB82" i="1"/>
  <c r="K82" i="1"/>
  <c r="I82" i="1"/>
  <c r="H82" i="1"/>
  <c r="G82" i="1"/>
  <c r="F82" i="1"/>
  <c r="C82" i="1" s="1"/>
  <c r="D82" i="1" s="1"/>
  <c r="E82" i="1" s="1"/>
  <c r="B82" i="1"/>
  <c r="A82" i="1"/>
  <c r="AF81" i="1"/>
  <c r="J81" i="1" s="1"/>
  <c r="AE81" i="1"/>
  <c r="I81" i="1" s="1"/>
  <c r="C81" i="1" s="1"/>
  <c r="D81" i="1" s="1"/>
  <c r="E81" i="1" s="1"/>
  <c r="AD81" i="1"/>
  <c r="H81" i="1" s="1"/>
  <c r="AC81" i="1"/>
  <c r="G81" i="1" s="1"/>
  <c r="AB81" i="1"/>
  <c r="F81" i="1" s="1"/>
  <c r="K81" i="1"/>
  <c r="A81" i="1"/>
  <c r="B81" i="1" s="1"/>
  <c r="AF80" i="1"/>
  <c r="J80" i="1" s="1"/>
  <c r="AE80" i="1"/>
  <c r="I80" i="1" s="1"/>
  <c r="AD80" i="1"/>
  <c r="H80" i="1" s="1"/>
  <c r="AC80" i="1"/>
  <c r="G80" i="1" s="1"/>
  <c r="AB80" i="1"/>
  <c r="F80" i="1" s="1"/>
  <c r="K80" i="1"/>
  <c r="A80" i="1"/>
  <c r="B80" i="1" s="1"/>
  <c r="AF79" i="1"/>
  <c r="AE79" i="1"/>
  <c r="AD79" i="1"/>
  <c r="AC79" i="1"/>
  <c r="AB79" i="1"/>
  <c r="K79" i="1"/>
  <c r="J79" i="1"/>
  <c r="I79" i="1"/>
  <c r="H79" i="1"/>
  <c r="G79" i="1"/>
  <c r="F79" i="1"/>
  <c r="C79" i="1" s="1"/>
  <c r="D79" i="1" s="1"/>
  <c r="E79" i="1" s="1"/>
  <c r="B79" i="1"/>
  <c r="A79" i="1"/>
  <c r="AF78" i="1"/>
  <c r="AE78" i="1"/>
  <c r="AD78" i="1"/>
  <c r="AC78" i="1"/>
  <c r="AB78" i="1"/>
  <c r="K78" i="1"/>
  <c r="J78" i="1"/>
  <c r="I78" i="1"/>
  <c r="H78" i="1"/>
  <c r="G78" i="1"/>
  <c r="F78" i="1"/>
  <c r="D78" i="1"/>
  <c r="E78" i="1" s="1"/>
  <c r="C78" i="1"/>
  <c r="B78" i="1"/>
  <c r="A78" i="1"/>
  <c r="AF77" i="1"/>
  <c r="J77" i="1" s="1"/>
  <c r="AE77" i="1"/>
  <c r="I77" i="1" s="1"/>
  <c r="AD77" i="1"/>
  <c r="H77" i="1" s="1"/>
  <c r="AC77" i="1"/>
  <c r="G77" i="1" s="1"/>
  <c r="C77" i="1" s="1"/>
  <c r="D77" i="1" s="1"/>
  <c r="E77" i="1" s="1"/>
  <c r="AB77" i="1"/>
  <c r="K77" i="1"/>
  <c r="F77" i="1"/>
  <c r="A77" i="1"/>
  <c r="B77" i="1" s="1"/>
  <c r="AF76" i="1"/>
  <c r="J76" i="1" s="1"/>
  <c r="AE76" i="1"/>
  <c r="I76" i="1" s="1"/>
  <c r="AD76" i="1"/>
  <c r="H76" i="1" s="1"/>
  <c r="AC76" i="1"/>
  <c r="G76" i="1" s="1"/>
  <c r="AB76" i="1"/>
  <c r="F76" i="1" s="1"/>
  <c r="K76" i="1"/>
  <c r="A76" i="1"/>
  <c r="B76" i="1" s="1"/>
  <c r="AF75" i="1"/>
  <c r="AE75" i="1"/>
  <c r="AD75" i="1"/>
  <c r="AC75" i="1"/>
  <c r="AB75" i="1"/>
  <c r="K75" i="1"/>
  <c r="J75" i="1"/>
  <c r="I75" i="1"/>
  <c r="H75" i="1"/>
  <c r="G75" i="1"/>
  <c r="F75" i="1"/>
  <c r="C75" i="1" s="1"/>
  <c r="D75" i="1" s="1"/>
  <c r="E75" i="1" s="1"/>
  <c r="A75" i="1"/>
  <c r="B75" i="1" s="1"/>
  <c r="AF74" i="1"/>
  <c r="J74" i="1" s="1"/>
  <c r="AE74" i="1"/>
  <c r="I74" i="1" s="1"/>
  <c r="AD74" i="1"/>
  <c r="H74" i="1" s="1"/>
  <c r="AC74" i="1"/>
  <c r="AB74" i="1"/>
  <c r="F74" i="1" s="1"/>
  <c r="K74" i="1"/>
  <c r="G74" i="1"/>
  <c r="A74" i="1"/>
  <c r="B74" i="1" s="1"/>
  <c r="AF73" i="1"/>
  <c r="AE73" i="1"/>
  <c r="AD73" i="1"/>
  <c r="AC73" i="1"/>
  <c r="G73" i="1" s="1"/>
  <c r="AB73" i="1"/>
  <c r="F73" i="1" s="1"/>
  <c r="C73" i="1" s="1"/>
  <c r="D73" i="1" s="1"/>
  <c r="E73" i="1" s="1"/>
  <c r="K73" i="1"/>
  <c r="J73" i="1"/>
  <c r="I73" i="1"/>
  <c r="H73" i="1"/>
  <c r="A73" i="1"/>
  <c r="B73" i="1" s="1"/>
  <c r="AF72" i="1"/>
  <c r="J72" i="1" s="1"/>
  <c r="AE72" i="1"/>
  <c r="I72" i="1" s="1"/>
  <c r="AD72" i="1"/>
  <c r="H72" i="1" s="1"/>
  <c r="AC72" i="1"/>
  <c r="G72" i="1" s="1"/>
  <c r="AB72" i="1"/>
  <c r="K72" i="1"/>
  <c r="F72" i="1"/>
  <c r="A72" i="1"/>
  <c r="B72" i="1" s="1"/>
  <c r="AF71" i="1"/>
  <c r="AE71" i="1"/>
  <c r="AD71" i="1"/>
  <c r="H71" i="1" s="1"/>
  <c r="AC71" i="1"/>
  <c r="G71" i="1" s="1"/>
  <c r="AB71" i="1"/>
  <c r="F71" i="1" s="1"/>
  <c r="K71" i="1"/>
  <c r="J71" i="1"/>
  <c r="I71" i="1"/>
  <c r="C71" i="1"/>
  <c r="D71" i="1" s="1"/>
  <c r="E71" i="1" s="1"/>
  <c r="A71" i="1"/>
  <c r="B71" i="1" s="1"/>
  <c r="AF70" i="1"/>
  <c r="J70" i="1" s="1"/>
  <c r="AE70" i="1"/>
  <c r="I70" i="1" s="1"/>
  <c r="AD70" i="1"/>
  <c r="H70" i="1" s="1"/>
  <c r="AC70" i="1"/>
  <c r="AB70" i="1"/>
  <c r="F70" i="1" s="1"/>
  <c r="K70" i="1"/>
  <c r="G70" i="1"/>
  <c r="A70" i="1"/>
  <c r="B70" i="1" s="1"/>
  <c r="AF69" i="1"/>
  <c r="AE69" i="1"/>
  <c r="I69" i="1" s="1"/>
  <c r="AD69" i="1"/>
  <c r="H69" i="1" s="1"/>
  <c r="AC69" i="1"/>
  <c r="G69" i="1" s="1"/>
  <c r="AB69" i="1"/>
  <c r="F69" i="1" s="1"/>
  <c r="K69" i="1"/>
  <c r="J69" i="1"/>
  <c r="A69" i="1"/>
  <c r="B69" i="1" s="1"/>
  <c r="AF68" i="1"/>
  <c r="AE68" i="1"/>
  <c r="AD68" i="1"/>
  <c r="AC68" i="1"/>
  <c r="G68" i="1" s="1"/>
  <c r="AB68" i="1"/>
  <c r="K68" i="1"/>
  <c r="J68" i="1"/>
  <c r="I68" i="1"/>
  <c r="H68" i="1"/>
  <c r="F68" i="1"/>
  <c r="A68" i="1"/>
  <c r="B68" i="1" s="1"/>
  <c r="AF67" i="1"/>
  <c r="J67" i="1" s="1"/>
  <c r="AE67" i="1"/>
  <c r="AD67" i="1"/>
  <c r="AC67" i="1"/>
  <c r="AB67" i="1"/>
  <c r="K67" i="1"/>
  <c r="I67" i="1"/>
  <c r="H67" i="1"/>
  <c r="G67" i="1"/>
  <c r="F67" i="1"/>
  <c r="C67" i="1"/>
  <c r="D67" i="1" s="1"/>
  <c r="E67" i="1" s="1"/>
  <c r="A67" i="1"/>
  <c r="B67" i="1" s="1"/>
  <c r="AF66" i="1"/>
  <c r="J66" i="1" s="1"/>
  <c r="AE66" i="1"/>
  <c r="I66" i="1" s="1"/>
  <c r="AD66" i="1"/>
  <c r="H66" i="1" s="1"/>
  <c r="AC66" i="1"/>
  <c r="G66" i="1" s="1"/>
  <c r="AB66" i="1"/>
  <c r="F66" i="1" s="1"/>
  <c r="K66" i="1"/>
  <c r="A66" i="1"/>
  <c r="B66" i="1" s="1"/>
  <c r="AF65" i="1"/>
  <c r="AE65" i="1"/>
  <c r="I65" i="1" s="1"/>
  <c r="AD65" i="1"/>
  <c r="H65" i="1" s="1"/>
  <c r="AC65" i="1"/>
  <c r="G65" i="1" s="1"/>
  <c r="AB65" i="1"/>
  <c r="F65" i="1" s="1"/>
  <c r="K65" i="1"/>
  <c r="J65" i="1"/>
  <c r="A65" i="1"/>
  <c r="B65" i="1" s="1"/>
  <c r="AF64" i="1"/>
  <c r="AE64" i="1"/>
  <c r="AD64" i="1"/>
  <c r="AC64" i="1"/>
  <c r="AB64" i="1"/>
  <c r="K64" i="1"/>
  <c r="J64" i="1"/>
  <c r="I64" i="1"/>
  <c r="H64" i="1"/>
  <c r="G64" i="1"/>
  <c r="F64" i="1"/>
  <c r="C64" i="1" s="1"/>
  <c r="D64" i="1" s="1"/>
  <c r="E64" i="1" s="1"/>
  <c r="A64" i="1"/>
  <c r="B64" i="1" s="1"/>
  <c r="AF63" i="1"/>
  <c r="AE63" i="1"/>
  <c r="AD63" i="1"/>
  <c r="AC63" i="1"/>
  <c r="AB63" i="1"/>
  <c r="K63" i="1"/>
  <c r="J63" i="1"/>
  <c r="I63" i="1"/>
  <c r="H63" i="1"/>
  <c r="G63" i="1"/>
  <c r="F63" i="1"/>
  <c r="C63" i="1"/>
  <c r="D63" i="1" s="1"/>
  <c r="E63" i="1" s="1"/>
  <c r="B63" i="1"/>
  <c r="A63" i="1"/>
  <c r="AF62" i="1"/>
  <c r="J62" i="1" s="1"/>
  <c r="AE62" i="1"/>
  <c r="I62" i="1" s="1"/>
  <c r="AD62" i="1"/>
  <c r="H62" i="1" s="1"/>
  <c r="AC62" i="1"/>
  <c r="G62" i="1" s="1"/>
  <c r="C62" i="1" s="1"/>
  <c r="D62" i="1" s="1"/>
  <c r="E62" i="1" s="1"/>
  <c r="AB62" i="1"/>
  <c r="K62" i="1"/>
  <c r="F62" i="1"/>
  <c r="A62" i="1"/>
  <c r="B62" i="1" s="1"/>
  <c r="AF61" i="1"/>
  <c r="AE61" i="1"/>
  <c r="I61" i="1" s="1"/>
  <c r="AD61" i="1"/>
  <c r="H61" i="1" s="1"/>
  <c r="AC61" i="1"/>
  <c r="G61" i="1" s="1"/>
  <c r="AB61" i="1"/>
  <c r="F61" i="1" s="1"/>
  <c r="C61" i="1" s="1"/>
  <c r="D61" i="1" s="1"/>
  <c r="E61" i="1" s="1"/>
  <c r="K61" i="1"/>
  <c r="J61" i="1"/>
  <c r="B61" i="1"/>
  <c r="A61" i="1"/>
  <c r="AF60" i="1"/>
  <c r="AE60" i="1"/>
  <c r="AD60" i="1"/>
  <c r="AC60" i="1"/>
  <c r="AB60" i="1"/>
  <c r="K60" i="1"/>
  <c r="J60" i="1"/>
  <c r="I60" i="1"/>
  <c r="H60" i="1"/>
  <c r="G60" i="1"/>
  <c r="F60" i="1"/>
  <c r="A60" i="1"/>
  <c r="B60" i="1" s="1"/>
  <c r="AF59" i="1"/>
  <c r="J59" i="1" s="1"/>
  <c r="AE59" i="1"/>
  <c r="I59" i="1" s="1"/>
  <c r="AD59" i="1"/>
  <c r="H59" i="1" s="1"/>
  <c r="AC59" i="1"/>
  <c r="G59" i="1" s="1"/>
  <c r="AB59" i="1"/>
  <c r="K59" i="1"/>
  <c r="F59" i="1"/>
  <c r="A59" i="1"/>
  <c r="B59" i="1" s="1"/>
  <c r="AF58" i="1"/>
  <c r="AE58" i="1"/>
  <c r="AD58" i="1"/>
  <c r="AC58" i="1"/>
  <c r="G58" i="1" s="1"/>
  <c r="AB58" i="1"/>
  <c r="F58" i="1" s="1"/>
  <c r="C58" i="1" s="1"/>
  <c r="D58" i="1" s="1"/>
  <c r="E58" i="1" s="1"/>
  <c r="K58" i="1"/>
  <c r="J58" i="1"/>
  <c r="I58" i="1"/>
  <c r="H58" i="1"/>
  <c r="B58" i="1"/>
  <c r="A58" i="1"/>
  <c r="AF57" i="1"/>
  <c r="J57" i="1" s="1"/>
  <c r="AE57" i="1"/>
  <c r="AD57" i="1"/>
  <c r="H57" i="1" s="1"/>
  <c r="AC57" i="1"/>
  <c r="G57" i="1" s="1"/>
  <c r="AB57" i="1"/>
  <c r="K57" i="1"/>
  <c r="I57" i="1"/>
  <c r="F57" i="1"/>
  <c r="C57" i="1" s="1"/>
  <c r="D57" i="1" s="1"/>
  <c r="E57" i="1" s="1"/>
  <c r="B57" i="1"/>
  <c r="A57" i="1"/>
  <c r="AF56" i="1"/>
  <c r="AE56" i="1"/>
  <c r="AD56" i="1"/>
  <c r="H56" i="1" s="1"/>
  <c r="AC56" i="1"/>
  <c r="G56" i="1" s="1"/>
  <c r="AB56" i="1"/>
  <c r="F56" i="1" s="1"/>
  <c r="K56" i="1"/>
  <c r="J56" i="1"/>
  <c r="I56" i="1"/>
  <c r="C56" i="1"/>
  <c r="D56" i="1" s="1"/>
  <c r="E56" i="1" s="1"/>
  <c r="B56" i="1"/>
  <c r="A56" i="1"/>
  <c r="AF55" i="1"/>
  <c r="J55" i="1" s="1"/>
  <c r="AE55" i="1"/>
  <c r="I55" i="1" s="1"/>
  <c r="AD55" i="1"/>
  <c r="H55" i="1" s="1"/>
  <c r="AC55" i="1"/>
  <c r="G55" i="1" s="1"/>
  <c r="AB55" i="1"/>
  <c r="K55" i="1"/>
  <c r="F55" i="1"/>
  <c r="A55" i="1"/>
  <c r="B55" i="1" s="1"/>
  <c r="AF54" i="1"/>
  <c r="J54" i="1" s="1"/>
  <c r="AE54" i="1"/>
  <c r="AD54" i="1"/>
  <c r="H54" i="1" s="1"/>
  <c r="AC54" i="1"/>
  <c r="G54" i="1" s="1"/>
  <c r="AB54" i="1"/>
  <c r="F54" i="1" s="1"/>
  <c r="C54" i="1" s="1"/>
  <c r="D54" i="1" s="1"/>
  <c r="E54" i="1" s="1"/>
  <c r="K54" i="1"/>
  <c r="I54" i="1"/>
  <c r="B54" i="1"/>
  <c r="A54" i="1"/>
  <c r="AF53" i="1"/>
  <c r="AE53" i="1"/>
  <c r="AD53" i="1"/>
  <c r="AC53" i="1"/>
  <c r="AB53" i="1"/>
  <c r="F53" i="1" s="1"/>
  <c r="K53" i="1"/>
  <c r="J53" i="1"/>
  <c r="I53" i="1"/>
  <c r="H53" i="1"/>
  <c r="G53" i="1"/>
  <c r="B53" i="1"/>
  <c r="A53" i="1"/>
  <c r="AF52" i="1"/>
  <c r="J52" i="1" s="1"/>
  <c r="AE52" i="1"/>
  <c r="I52" i="1" s="1"/>
  <c r="AD52" i="1"/>
  <c r="AC52" i="1"/>
  <c r="AB52" i="1"/>
  <c r="K52" i="1"/>
  <c r="H52" i="1"/>
  <c r="G52" i="1"/>
  <c r="F52" i="1"/>
  <c r="C52" i="1"/>
  <c r="D52" i="1" s="1"/>
  <c r="E52" i="1" s="1"/>
  <c r="B52" i="1"/>
  <c r="A52" i="1"/>
  <c r="AF51" i="1"/>
  <c r="J51" i="1" s="1"/>
  <c r="AE51" i="1"/>
  <c r="I51" i="1" s="1"/>
  <c r="AD51" i="1"/>
  <c r="H51" i="1" s="1"/>
  <c r="C51" i="1" s="1"/>
  <c r="D51" i="1" s="1"/>
  <c r="E51" i="1" s="1"/>
  <c r="AC51" i="1"/>
  <c r="G51" i="1" s="1"/>
  <c r="AB51" i="1"/>
  <c r="F51" i="1" s="1"/>
  <c r="K51" i="1"/>
  <c r="A51" i="1"/>
  <c r="B51" i="1" s="1"/>
  <c r="AF50" i="1"/>
  <c r="J50" i="1" s="1"/>
  <c r="AE50" i="1"/>
  <c r="AD50" i="1"/>
  <c r="H50" i="1" s="1"/>
  <c r="AC50" i="1"/>
  <c r="G50" i="1" s="1"/>
  <c r="AB50" i="1"/>
  <c r="F50" i="1" s="1"/>
  <c r="K50" i="1"/>
  <c r="I50" i="1"/>
  <c r="A50" i="1"/>
  <c r="B50" i="1" s="1"/>
  <c r="AF49" i="1"/>
  <c r="AE49" i="1"/>
  <c r="AD49" i="1"/>
  <c r="AC49" i="1"/>
  <c r="AB49" i="1"/>
  <c r="K49" i="1"/>
  <c r="J49" i="1"/>
  <c r="I49" i="1"/>
  <c r="H49" i="1"/>
  <c r="G49" i="1"/>
  <c r="F49" i="1"/>
  <c r="C49" i="1" s="1"/>
  <c r="D49" i="1" s="1"/>
  <c r="E49" i="1" s="1"/>
  <c r="B49" i="1"/>
  <c r="A49" i="1"/>
  <c r="AF48" i="1"/>
  <c r="AE48" i="1"/>
  <c r="AD48" i="1"/>
  <c r="AC48" i="1"/>
  <c r="G48" i="1" s="1"/>
  <c r="C48" i="1" s="1"/>
  <c r="D48" i="1" s="1"/>
  <c r="E48" i="1" s="1"/>
  <c r="AB48" i="1"/>
  <c r="K48" i="1"/>
  <c r="J48" i="1"/>
  <c r="I48" i="1"/>
  <c r="H48" i="1"/>
  <c r="F48" i="1"/>
  <c r="A48" i="1"/>
  <c r="B48" i="1" s="1"/>
  <c r="AF47" i="1"/>
  <c r="J47" i="1" s="1"/>
  <c r="AE47" i="1"/>
  <c r="I47" i="1" s="1"/>
  <c r="AD47" i="1"/>
  <c r="H47" i="1" s="1"/>
  <c r="AC47" i="1"/>
  <c r="G47" i="1" s="1"/>
  <c r="C47" i="1" s="1"/>
  <c r="D47" i="1" s="1"/>
  <c r="E47" i="1" s="1"/>
  <c r="AB47" i="1"/>
  <c r="K47" i="1"/>
  <c r="F47" i="1"/>
  <c r="A47" i="1"/>
  <c r="B47" i="1" s="1"/>
  <c r="AF46" i="1"/>
  <c r="J46" i="1" s="1"/>
  <c r="AE46" i="1"/>
  <c r="AD46" i="1"/>
  <c r="H46" i="1" s="1"/>
  <c r="AC46" i="1"/>
  <c r="G46" i="1" s="1"/>
  <c r="AB46" i="1"/>
  <c r="F46" i="1" s="1"/>
  <c r="K46" i="1"/>
  <c r="I46" i="1"/>
  <c r="A46" i="1"/>
  <c r="B46" i="1" s="1"/>
  <c r="AF45" i="1"/>
  <c r="AE45" i="1"/>
  <c r="AD45" i="1"/>
  <c r="AC45" i="1"/>
  <c r="AB45" i="1"/>
  <c r="K45" i="1"/>
  <c r="J45" i="1"/>
  <c r="I45" i="1"/>
  <c r="H45" i="1"/>
  <c r="G45" i="1"/>
  <c r="F45" i="1"/>
  <c r="C45" i="1" s="1"/>
  <c r="D45" i="1" s="1"/>
  <c r="E45" i="1"/>
  <c r="A45" i="1"/>
  <c r="B45" i="1" s="1"/>
  <c r="AF44" i="1"/>
  <c r="J44" i="1" s="1"/>
  <c r="AE44" i="1"/>
  <c r="I44" i="1" s="1"/>
  <c r="AD44" i="1"/>
  <c r="H44" i="1" s="1"/>
  <c r="AC44" i="1"/>
  <c r="G44" i="1" s="1"/>
  <c r="AB44" i="1"/>
  <c r="F44" i="1" s="1"/>
  <c r="K44" i="1"/>
  <c r="A44" i="1"/>
  <c r="B44" i="1" s="1"/>
  <c r="AF43" i="1"/>
  <c r="AE43" i="1"/>
  <c r="AD43" i="1"/>
  <c r="AC43" i="1"/>
  <c r="G43" i="1" s="1"/>
  <c r="AB43" i="1"/>
  <c r="F43" i="1" s="1"/>
  <c r="C43" i="1" s="1"/>
  <c r="D43" i="1" s="1"/>
  <c r="E43" i="1" s="1"/>
  <c r="K43" i="1"/>
  <c r="J43" i="1"/>
  <c r="I43" i="1"/>
  <c r="H43" i="1"/>
  <c r="A43" i="1"/>
  <c r="B43" i="1" s="1"/>
  <c r="AF42" i="1"/>
  <c r="J42" i="1" s="1"/>
  <c r="AE42" i="1"/>
  <c r="AD42" i="1"/>
  <c r="AC42" i="1"/>
  <c r="G42" i="1" s="1"/>
  <c r="AB42" i="1"/>
  <c r="K42" i="1"/>
  <c r="I42" i="1"/>
  <c r="H42" i="1"/>
  <c r="F42" i="1"/>
  <c r="A42" i="1"/>
  <c r="B42" i="1" s="1"/>
  <c r="AF41" i="1"/>
  <c r="AE41" i="1"/>
  <c r="AD41" i="1"/>
  <c r="H41" i="1" s="1"/>
  <c r="AC41" i="1"/>
  <c r="G41" i="1" s="1"/>
  <c r="AB41" i="1"/>
  <c r="F41" i="1" s="1"/>
  <c r="K41" i="1"/>
  <c r="J41" i="1"/>
  <c r="I41" i="1"/>
  <c r="C41" i="1"/>
  <c r="D41" i="1" s="1"/>
  <c r="E41" i="1" s="1"/>
  <c r="B41" i="1"/>
  <c r="A41" i="1"/>
  <c r="AF40" i="1"/>
  <c r="J40" i="1" s="1"/>
  <c r="AE40" i="1"/>
  <c r="I40" i="1" s="1"/>
  <c r="AD40" i="1"/>
  <c r="H40" i="1" s="1"/>
  <c r="AC40" i="1"/>
  <c r="G40" i="1" s="1"/>
  <c r="AB40" i="1"/>
  <c r="F40" i="1" s="1"/>
  <c r="K40" i="1"/>
  <c r="A40" i="1"/>
  <c r="B40" i="1" s="1"/>
  <c r="AF39" i="1"/>
  <c r="AE39" i="1"/>
  <c r="I39" i="1" s="1"/>
  <c r="AD39" i="1"/>
  <c r="AC39" i="1"/>
  <c r="G39" i="1" s="1"/>
  <c r="AB39" i="1"/>
  <c r="F39" i="1" s="1"/>
  <c r="K39" i="1"/>
  <c r="J39" i="1"/>
  <c r="H39" i="1"/>
  <c r="A39" i="1"/>
  <c r="B39" i="1" s="1"/>
  <c r="AF38" i="1"/>
  <c r="AE38" i="1"/>
  <c r="AD38" i="1"/>
  <c r="AC38" i="1"/>
  <c r="AB38" i="1"/>
  <c r="K38" i="1"/>
  <c r="J38" i="1"/>
  <c r="I38" i="1"/>
  <c r="H38" i="1"/>
  <c r="G38" i="1"/>
  <c r="F38" i="1"/>
  <c r="B38" i="1"/>
  <c r="A38" i="1"/>
  <c r="AF37" i="1"/>
  <c r="J37" i="1" s="1"/>
  <c r="AE37" i="1"/>
  <c r="AD37" i="1"/>
  <c r="H37" i="1" s="1"/>
  <c r="AC37" i="1"/>
  <c r="AB37" i="1"/>
  <c r="K37" i="1"/>
  <c r="I37" i="1"/>
  <c r="G37" i="1"/>
  <c r="F37" i="1"/>
  <c r="C37" i="1"/>
  <c r="D37" i="1" s="1"/>
  <c r="E37" i="1" s="1"/>
  <c r="A37" i="1"/>
  <c r="B37" i="1" s="1"/>
  <c r="AF36" i="1"/>
  <c r="J36" i="1" s="1"/>
  <c r="AE36" i="1"/>
  <c r="I36" i="1" s="1"/>
  <c r="AD36" i="1"/>
  <c r="H36" i="1" s="1"/>
  <c r="AC36" i="1"/>
  <c r="G36" i="1" s="1"/>
  <c r="AB36" i="1"/>
  <c r="F36" i="1" s="1"/>
  <c r="K36" i="1"/>
  <c r="B36" i="1"/>
  <c r="A36" i="1"/>
  <c r="AF35" i="1"/>
  <c r="AE35" i="1"/>
  <c r="I35" i="1" s="1"/>
  <c r="AD35" i="1"/>
  <c r="AC35" i="1"/>
  <c r="G35" i="1" s="1"/>
  <c r="AB35" i="1"/>
  <c r="F35" i="1" s="1"/>
  <c r="K35" i="1"/>
  <c r="J35" i="1"/>
  <c r="H35" i="1"/>
  <c r="A35" i="1"/>
  <c r="B35" i="1" s="1"/>
  <c r="AF34" i="1"/>
  <c r="J34" i="1" s="1"/>
  <c r="C34" i="1" s="1"/>
  <c r="D34" i="1" s="1"/>
  <c r="E34" i="1" s="1"/>
  <c r="AE34" i="1"/>
  <c r="AD34" i="1"/>
  <c r="AC34" i="1"/>
  <c r="AB34" i="1"/>
  <c r="K34" i="1"/>
  <c r="I34" i="1"/>
  <c r="H34" i="1"/>
  <c r="G34" i="1"/>
  <c r="F34" i="1"/>
  <c r="A34" i="1"/>
  <c r="B34" i="1" s="1"/>
  <c r="AF33" i="1"/>
  <c r="AE33" i="1"/>
  <c r="AD33" i="1"/>
  <c r="AC33" i="1"/>
  <c r="AB33" i="1"/>
  <c r="F33" i="1" s="1"/>
  <c r="C33" i="1" s="1"/>
  <c r="D33" i="1" s="1"/>
  <c r="E33" i="1" s="1"/>
  <c r="K33" i="1"/>
  <c r="J33" i="1"/>
  <c r="I33" i="1"/>
  <c r="H33" i="1"/>
  <c r="G33" i="1"/>
  <c r="A33" i="1"/>
  <c r="B33" i="1" s="1"/>
  <c r="AF32" i="1"/>
  <c r="J32" i="1" s="1"/>
  <c r="AE32" i="1"/>
  <c r="I32" i="1" s="1"/>
  <c r="AD32" i="1"/>
  <c r="H32" i="1" s="1"/>
  <c r="AC32" i="1"/>
  <c r="G32" i="1" s="1"/>
  <c r="AB32" i="1"/>
  <c r="K32" i="1"/>
  <c r="F32" i="1"/>
  <c r="B32" i="1"/>
  <c r="A32" i="1"/>
  <c r="AF31" i="1"/>
  <c r="AE31" i="1"/>
  <c r="I31" i="1" s="1"/>
  <c r="AD31" i="1"/>
  <c r="H31" i="1" s="1"/>
  <c r="AC31" i="1"/>
  <c r="G31" i="1" s="1"/>
  <c r="AB31" i="1"/>
  <c r="F31" i="1" s="1"/>
  <c r="C31" i="1" s="1"/>
  <c r="D31" i="1" s="1"/>
  <c r="E31" i="1" s="1"/>
  <c r="K31" i="1"/>
  <c r="J31" i="1"/>
  <c r="B31" i="1"/>
  <c r="A31" i="1"/>
  <c r="AF30" i="1"/>
  <c r="J30" i="1" s="1"/>
  <c r="AE30" i="1"/>
  <c r="AD30" i="1"/>
  <c r="AC30" i="1"/>
  <c r="AB30" i="1"/>
  <c r="K30" i="1"/>
  <c r="I30" i="1"/>
  <c r="H30" i="1"/>
  <c r="G30" i="1"/>
  <c r="F30" i="1"/>
  <c r="C30" i="1" s="1"/>
  <c r="D30" i="1" s="1"/>
  <c r="E30" i="1" s="1"/>
  <c r="A30" i="1"/>
  <c r="B30" i="1" s="1"/>
  <c r="AF29" i="1"/>
  <c r="J29" i="1" s="1"/>
  <c r="AE29" i="1"/>
  <c r="I29" i="1" s="1"/>
  <c r="AD29" i="1"/>
  <c r="H29" i="1" s="1"/>
  <c r="AC29" i="1"/>
  <c r="G29" i="1" s="1"/>
  <c r="AB29" i="1"/>
  <c r="F29" i="1" s="1"/>
  <c r="K29" i="1"/>
  <c r="A29" i="1"/>
  <c r="B29" i="1" s="1"/>
  <c r="AF28" i="1"/>
  <c r="AE28" i="1"/>
  <c r="AD28" i="1"/>
  <c r="AC28" i="1"/>
  <c r="G28" i="1" s="1"/>
  <c r="AB28" i="1"/>
  <c r="F28" i="1" s="1"/>
  <c r="K28" i="1"/>
  <c r="J28" i="1"/>
  <c r="I28" i="1"/>
  <c r="H28" i="1"/>
  <c r="A28" i="1"/>
  <c r="B28" i="1" s="1"/>
  <c r="AF27" i="1"/>
  <c r="J27" i="1" s="1"/>
  <c r="AE27" i="1"/>
  <c r="AD27" i="1"/>
  <c r="AC27" i="1"/>
  <c r="AB27" i="1"/>
  <c r="K27" i="1"/>
  <c r="I27" i="1"/>
  <c r="H27" i="1"/>
  <c r="G27" i="1"/>
  <c r="F27" i="1"/>
  <c r="B27" i="1"/>
  <c r="A27" i="1"/>
  <c r="AF26" i="1"/>
  <c r="J26" i="1" s="1"/>
  <c r="C26" i="1" s="1"/>
  <c r="D26" i="1" s="1"/>
  <c r="E26" i="1" s="1"/>
  <c r="AE26" i="1"/>
  <c r="AD26" i="1"/>
  <c r="H26" i="1" s="1"/>
  <c r="AC26" i="1"/>
  <c r="G26" i="1" s="1"/>
  <c r="AB26" i="1"/>
  <c r="K26" i="1"/>
  <c r="I26" i="1"/>
  <c r="F26" i="1"/>
  <c r="A26" i="1"/>
  <c r="B26" i="1" s="1"/>
  <c r="AF25" i="1"/>
  <c r="J25" i="1" s="1"/>
  <c r="AE25" i="1"/>
  <c r="I25" i="1" s="1"/>
  <c r="AD25" i="1"/>
  <c r="H25" i="1" s="1"/>
  <c r="AC25" i="1"/>
  <c r="G25" i="1" s="1"/>
  <c r="AB25" i="1"/>
  <c r="F25" i="1" s="1"/>
  <c r="K25" i="1"/>
  <c r="A25" i="1"/>
  <c r="B25" i="1" s="1"/>
  <c r="AF24" i="1"/>
  <c r="J24" i="1" s="1"/>
  <c r="AE24" i="1"/>
  <c r="AD24" i="1"/>
  <c r="H24" i="1" s="1"/>
  <c r="AC24" i="1"/>
  <c r="G24" i="1" s="1"/>
  <c r="AB24" i="1"/>
  <c r="F24" i="1" s="1"/>
  <c r="K24" i="1"/>
  <c r="I24" i="1"/>
  <c r="B24" i="1"/>
  <c r="A24" i="1"/>
  <c r="AF23" i="1"/>
  <c r="AE23" i="1"/>
  <c r="AD23" i="1"/>
  <c r="AC23" i="1"/>
  <c r="AB23" i="1"/>
  <c r="F23" i="1" s="1"/>
  <c r="K23" i="1"/>
  <c r="J23" i="1"/>
  <c r="I23" i="1"/>
  <c r="H23" i="1"/>
  <c r="G23" i="1"/>
  <c r="B23" i="1"/>
  <c r="A23" i="1"/>
  <c r="AF22" i="1"/>
  <c r="J22" i="1" s="1"/>
  <c r="AE22" i="1"/>
  <c r="AD22" i="1"/>
  <c r="AC22" i="1"/>
  <c r="AB22" i="1"/>
  <c r="K22" i="1"/>
  <c r="I22" i="1"/>
  <c r="H22" i="1"/>
  <c r="G22" i="1"/>
  <c r="F22" i="1"/>
  <c r="C22" i="1"/>
  <c r="D22" i="1" s="1"/>
  <c r="E22" i="1" s="1"/>
  <c r="A22" i="1"/>
  <c r="B22" i="1" s="1"/>
  <c r="AF21" i="1"/>
  <c r="J21" i="1" s="1"/>
  <c r="AE21" i="1"/>
  <c r="I21" i="1" s="1"/>
  <c r="AD21" i="1"/>
  <c r="H21" i="1" s="1"/>
  <c r="AC21" i="1"/>
  <c r="G21" i="1" s="1"/>
  <c r="AB21" i="1"/>
  <c r="F21" i="1" s="1"/>
  <c r="K21" i="1"/>
  <c r="A21" i="1"/>
  <c r="B21" i="1" s="1"/>
  <c r="AF20" i="1"/>
  <c r="J20" i="1" s="1"/>
  <c r="AE20" i="1"/>
  <c r="I20" i="1" s="1"/>
  <c r="AD20" i="1"/>
  <c r="H20" i="1" s="1"/>
  <c r="AC20" i="1"/>
  <c r="G20" i="1" s="1"/>
  <c r="AB20" i="1"/>
  <c r="F20" i="1" s="1"/>
  <c r="K20" i="1"/>
  <c r="B20" i="1"/>
  <c r="A20" i="1"/>
  <c r="AF19" i="1"/>
  <c r="AE19" i="1"/>
  <c r="AD19" i="1"/>
  <c r="AC19" i="1"/>
  <c r="AB19" i="1"/>
  <c r="F19" i="1" s="1"/>
  <c r="C19" i="1" s="1"/>
  <c r="D19" i="1" s="1"/>
  <c r="E19" i="1" s="1"/>
  <c r="K19" i="1"/>
  <c r="J19" i="1"/>
  <c r="I19" i="1"/>
  <c r="H19" i="1"/>
  <c r="G19" i="1"/>
  <c r="B19" i="1"/>
  <c r="A19" i="1"/>
  <c r="AF18" i="1"/>
  <c r="AE18" i="1"/>
  <c r="AD18" i="1"/>
  <c r="AC18" i="1"/>
  <c r="AB18" i="1"/>
  <c r="K18" i="1"/>
  <c r="J18" i="1"/>
  <c r="I18" i="1"/>
  <c r="H18" i="1"/>
  <c r="G18" i="1"/>
  <c r="F18" i="1"/>
  <c r="C18" i="1" s="1"/>
  <c r="D18" i="1" s="1"/>
  <c r="E18" i="1" s="1"/>
  <c r="A18" i="1"/>
  <c r="B18" i="1" s="1"/>
  <c r="AF17" i="1"/>
  <c r="J17" i="1" s="1"/>
  <c r="AE17" i="1"/>
  <c r="I17" i="1" s="1"/>
  <c r="AD17" i="1"/>
  <c r="H17" i="1" s="1"/>
  <c r="AC17" i="1"/>
  <c r="AB17" i="1"/>
  <c r="F17" i="1" s="1"/>
  <c r="K17" i="1"/>
  <c r="G17" i="1"/>
  <c r="A17" i="1"/>
  <c r="B17" i="1" s="1"/>
  <c r="AF16" i="1"/>
  <c r="J16" i="1" s="1"/>
  <c r="AE16" i="1"/>
  <c r="I16" i="1" s="1"/>
  <c r="AD16" i="1"/>
  <c r="H16" i="1" s="1"/>
  <c r="AC16" i="1"/>
  <c r="G16" i="1" s="1"/>
  <c r="AB16" i="1"/>
  <c r="F16" i="1" s="1"/>
  <c r="C16" i="1" s="1"/>
  <c r="D16" i="1" s="1"/>
  <c r="E16" i="1" s="1"/>
  <c r="K16" i="1"/>
  <c r="A16" i="1"/>
  <c r="B16" i="1" s="1"/>
  <c r="AF15" i="1"/>
  <c r="J15" i="1" s="1"/>
  <c r="AE15" i="1"/>
  <c r="AD15" i="1"/>
  <c r="H15" i="1" s="1"/>
  <c r="AC15" i="1"/>
  <c r="G15" i="1" s="1"/>
  <c r="AB15" i="1"/>
  <c r="F15" i="1" s="1"/>
  <c r="K15" i="1"/>
  <c r="I15" i="1"/>
  <c r="B15" i="1"/>
  <c r="A15" i="1"/>
  <c r="AF14" i="1"/>
  <c r="AE14" i="1"/>
  <c r="AD14" i="1"/>
  <c r="AC14" i="1"/>
  <c r="AB14" i="1"/>
  <c r="F14" i="1" s="1"/>
  <c r="K14" i="1"/>
  <c r="J14" i="1"/>
  <c r="I14" i="1"/>
  <c r="H14" i="1"/>
  <c r="G14" i="1"/>
  <c r="B14" i="1"/>
  <c r="A14" i="1"/>
  <c r="AF13" i="1"/>
  <c r="J13" i="1" s="1"/>
  <c r="C13" i="1" s="1"/>
  <c r="D13" i="1" s="1"/>
  <c r="E13" i="1" s="1"/>
  <c r="AE13" i="1"/>
  <c r="AD13" i="1"/>
  <c r="AC13" i="1"/>
  <c r="AB13" i="1"/>
  <c r="K13" i="1"/>
  <c r="I13" i="1"/>
  <c r="H13" i="1"/>
  <c r="G13" i="1"/>
  <c r="F13" i="1"/>
  <c r="A13" i="1"/>
  <c r="B13" i="1" s="1"/>
  <c r="AF12" i="1"/>
  <c r="J12" i="1" s="1"/>
  <c r="AE12" i="1"/>
  <c r="I12" i="1" s="1"/>
  <c r="AD12" i="1"/>
  <c r="H12" i="1" s="1"/>
  <c r="AC12" i="1"/>
  <c r="AB12" i="1"/>
  <c r="F12" i="1" s="1"/>
  <c r="C12" i="1" s="1"/>
  <c r="D12" i="1" s="1"/>
  <c r="E12" i="1" s="1"/>
  <c r="K12" i="1"/>
  <c r="G12" i="1"/>
  <c r="A12" i="1"/>
  <c r="B12" i="1" s="1"/>
  <c r="AF11" i="1"/>
  <c r="J11" i="1" s="1"/>
  <c r="AE11" i="1"/>
  <c r="I11" i="1" s="1"/>
  <c r="AD11" i="1"/>
  <c r="H11" i="1" s="1"/>
  <c r="AC11" i="1"/>
  <c r="G11" i="1" s="1"/>
  <c r="AB11" i="1"/>
  <c r="F11" i="1" s="1"/>
  <c r="K11" i="1"/>
  <c r="A11" i="1"/>
  <c r="B11" i="1" s="1"/>
  <c r="AF10" i="1"/>
  <c r="J10" i="1" s="1"/>
  <c r="AE10" i="1"/>
  <c r="AD10" i="1"/>
  <c r="H10" i="1" s="1"/>
  <c r="AC10" i="1"/>
  <c r="G10" i="1" s="1"/>
  <c r="AB10" i="1"/>
  <c r="F10" i="1" s="1"/>
  <c r="K10" i="1"/>
  <c r="I10" i="1"/>
  <c r="B10" i="1"/>
  <c r="A10" i="1"/>
  <c r="AF9" i="1"/>
  <c r="AE9" i="1"/>
  <c r="AD9" i="1"/>
  <c r="AC9" i="1"/>
  <c r="AB9" i="1"/>
  <c r="F9" i="1" s="1"/>
  <c r="C9" i="1" s="1"/>
  <c r="D9" i="1" s="1"/>
  <c r="E9" i="1" s="1"/>
  <c r="K9" i="1"/>
  <c r="J9" i="1"/>
  <c r="I9" i="1"/>
  <c r="H9" i="1"/>
  <c r="G9" i="1"/>
  <c r="B9" i="1"/>
  <c r="A9" i="1"/>
  <c r="AF8" i="1"/>
  <c r="J8" i="1" s="1"/>
  <c r="C8" i="1" s="1"/>
  <c r="D8" i="1" s="1"/>
  <c r="E8" i="1" s="1"/>
  <c r="AE8" i="1"/>
  <c r="AD8" i="1"/>
  <c r="AC8" i="1"/>
  <c r="AB8" i="1"/>
  <c r="K8" i="1"/>
  <c r="I8" i="1"/>
  <c r="H8" i="1"/>
  <c r="G8" i="1"/>
  <c r="F8" i="1"/>
  <c r="A8" i="1"/>
  <c r="B8" i="1" s="1"/>
  <c r="AF7" i="1"/>
  <c r="J7" i="1" s="1"/>
  <c r="AE7" i="1"/>
  <c r="I7" i="1" s="1"/>
  <c r="AD7" i="1"/>
  <c r="H7" i="1" s="1"/>
  <c r="AC7" i="1"/>
  <c r="AB7" i="1"/>
  <c r="F7" i="1" s="1"/>
  <c r="C7" i="1" s="1"/>
  <c r="D7" i="1" s="1"/>
  <c r="E7" i="1" s="1"/>
  <c r="K7" i="1"/>
  <c r="G7" i="1"/>
  <c r="A7" i="1"/>
  <c r="B7" i="1" s="1"/>
  <c r="AF6" i="1"/>
  <c r="J6" i="1" s="1"/>
  <c r="AE6" i="1"/>
  <c r="I6" i="1" s="1"/>
  <c r="AD6" i="1"/>
  <c r="H6" i="1" s="1"/>
  <c r="AC6" i="1"/>
  <c r="G6" i="1" s="1"/>
  <c r="AB6" i="1"/>
  <c r="F6" i="1" s="1"/>
  <c r="K6" i="1"/>
  <c r="A6" i="1"/>
  <c r="B6" i="1" s="1"/>
  <c r="AF5" i="1"/>
  <c r="J5" i="1" s="1"/>
  <c r="AE5" i="1"/>
  <c r="AD5" i="1"/>
  <c r="H5" i="1" s="1"/>
  <c r="AC5" i="1"/>
  <c r="G5" i="1" s="1"/>
  <c r="AB5" i="1"/>
  <c r="F5" i="1" s="1"/>
  <c r="K5" i="1"/>
  <c r="I5" i="1"/>
  <c r="B5" i="1"/>
  <c r="A5" i="1"/>
  <c r="AF4" i="1"/>
  <c r="AE4" i="1"/>
  <c r="AD4" i="1"/>
  <c r="AC4" i="1"/>
  <c r="AB4" i="1"/>
  <c r="F4" i="1" s="1"/>
  <c r="K4" i="1"/>
  <c r="J4" i="1"/>
  <c r="I4" i="1"/>
  <c r="H4" i="1"/>
  <c r="G4" i="1"/>
  <c r="B4" i="1"/>
  <c r="A4" i="1"/>
  <c r="AF3" i="1"/>
  <c r="J3" i="1" s="1"/>
  <c r="AE3" i="1"/>
  <c r="AD3" i="1"/>
  <c r="AC3" i="1"/>
  <c r="AB3" i="1"/>
  <c r="K3" i="1"/>
  <c r="I3" i="1"/>
  <c r="H3" i="1"/>
  <c r="G3" i="1"/>
  <c r="F3" i="1"/>
  <c r="C3" i="1"/>
  <c r="D3" i="1" s="1"/>
  <c r="E3" i="1" s="1"/>
  <c r="A3" i="1"/>
  <c r="B3" i="1" s="1"/>
  <c r="C125" i="1" l="1"/>
  <c r="D125" i="1" s="1"/>
  <c r="E125" i="1" s="1"/>
  <c r="C25" i="1"/>
  <c r="D25" i="1" s="1"/>
  <c r="E25" i="1" s="1"/>
  <c r="C27" i="1"/>
  <c r="D27" i="1" s="1"/>
  <c r="E27" i="1" s="1"/>
  <c r="C115" i="1"/>
  <c r="D115" i="1" s="1"/>
  <c r="E115" i="1" s="1"/>
  <c r="C6" i="1"/>
  <c r="D6" i="1" s="1"/>
  <c r="E6" i="1" s="1"/>
  <c r="C29" i="1"/>
  <c r="D29" i="1" s="1"/>
  <c r="E29" i="1" s="1"/>
  <c r="C98" i="1"/>
  <c r="D98" i="1" s="1"/>
  <c r="E98" i="1" s="1"/>
  <c r="C164" i="1"/>
  <c r="D164" i="1" s="1"/>
  <c r="E164" i="1" s="1"/>
  <c r="C160" i="1"/>
  <c r="D160" i="1" s="1"/>
  <c r="E160" i="1" s="1"/>
  <c r="C39" i="1"/>
  <c r="D39" i="1" s="1"/>
  <c r="E39" i="1" s="1"/>
  <c r="C59" i="1"/>
  <c r="D59" i="1" s="1"/>
  <c r="E59" i="1" s="1"/>
  <c r="C87" i="1"/>
  <c r="D87" i="1" s="1"/>
  <c r="E87" i="1" s="1"/>
  <c r="C135" i="1"/>
  <c r="D135" i="1" s="1"/>
  <c r="E135" i="1" s="1"/>
  <c r="C109" i="1"/>
  <c r="D109" i="1" s="1"/>
  <c r="E109" i="1" s="1"/>
  <c r="C141" i="1"/>
  <c r="D141" i="1" s="1"/>
  <c r="E141" i="1" s="1"/>
  <c r="C154" i="1"/>
  <c r="D154" i="1" s="1"/>
  <c r="E154" i="1" s="1"/>
  <c r="C147" i="1"/>
  <c r="D147" i="1" s="1"/>
  <c r="E147" i="1" s="1"/>
  <c r="C166" i="1"/>
  <c r="D166" i="1" s="1"/>
  <c r="E166" i="1" s="1"/>
  <c r="C10" i="1"/>
  <c r="D10" i="1" s="1"/>
  <c r="E10" i="1" s="1"/>
  <c r="C105" i="1"/>
  <c r="D105" i="1" s="1"/>
  <c r="E105" i="1" s="1"/>
  <c r="C14" i="1"/>
  <c r="D14" i="1" s="1"/>
  <c r="E14" i="1" s="1"/>
  <c r="C101" i="1"/>
  <c r="D101" i="1" s="1"/>
  <c r="E101" i="1" s="1"/>
  <c r="C119" i="1"/>
  <c r="D119" i="1" s="1"/>
  <c r="E119" i="1" s="1"/>
  <c r="C20" i="1"/>
  <c r="D20" i="1" s="1"/>
  <c r="E20" i="1" s="1"/>
  <c r="C42" i="1"/>
  <c r="D42" i="1" s="1"/>
  <c r="E42" i="1" s="1"/>
  <c r="C65" i="1"/>
  <c r="D65" i="1" s="1"/>
  <c r="E65" i="1" s="1"/>
  <c r="C69" i="1"/>
  <c r="D69" i="1" s="1"/>
  <c r="E69" i="1" s="1"/>
  <c r="C95" i="1"/>
  <c r="D95" i="1" s="1"/>
  <c r="E95" i="1" s="1"/>
  <c r="C157" i="1"/>
  <c r="D157" i="1" s="1"/>
  <c r="E157" i="1" s="1"/>
  <c r="C83" i="1"/>
  <c r="D83" i="1" s="1"/>
  <c r="E83" i="1" s="1"/>
  <c r="C132" i="1"/>
  <c r="D132" i="1" s="1"/>
  <c r="E132" i="1" s="1"/>
  <c r="C32" i="1"/>
  <c r="D32" i="1" s="1"/>
  <c r="E32" i="1" s="1"/>
  <c r="C38" i="1"/>
  <c r="D38" i="1" s="1"/>
  <c r="E38" i="1" s="1"/>
  <c r="C44" i="1"/>
  <c r="D44" i="1" s="1"/>
  <c r="E44" i="1" s="1"/>
  <c r="C11" i="1"/>
  <c r="D11" i="1" s="1"/>
  <c r="E11" i="1" s="1"/>
  <c r="C24" i="1"/>
  <c r="D24" i="1" s="1"/>
  <c r="E24" i="1" s="1"/>
  <c r="C36" i="1"/>
  <c r="D36" i="1" s="1"/>
  <c r="E36" i="1" s="1"/>
  <c r="C46" i="1"/>
  <c r="D46" i="1" s="1"/>
  <c r="E46" i="1" s="1"/>
  <c r="C60" i="1"/>
  <c r="D60" i="1" s="1"/>
  <c r="E60" i="1" s="1"/>
  <c r="C112" i="1"/>
  <c r="D112" i="1" s="1"/>
  <c r="E112" i="1" s="1"/>
  <c r="C122" i="1"/>
  <c r="D122" i="1" s="1"/>
  <c r="E122" i="1" s="1"/>
  <c r="C145" i="1"/>
  <c r="D145" i="1" s="1"/>
  <c r="E145" i="1" s="1"/>
  <c r="C149" i="1"/>
  <c r="D149" i="1" s="1"/>
  <c r="E149" i="1" s="1"/>
  <c r="C151" i="1"/>
  <c r="D151" i="1" s="1"/>
  <c r="E151" i="1" s="1"/>
  <c r="C5" i="1"/>
  <c r="D5" i="1" s="1"/>
  <c r="E5" i="1" s="1"/>
  <c r="C17" i="1"/>
  <c r="D17" i="1" s="1"/>
  <c r="E17" i="1" s="1"/>
  <c r="C28" i="1"/>
  <c r="D28" i="1" s="1"/>
  <c r="E28" i="1" s="1"/>
  <c r="C40" i="1"/>
  <c r="D40" i="1" s="1"/>
  <c r="E40" i="1" s="1"/>
  <c r="C108" i="1"/>
  <c r="D108" i="1" s="1"/>
  <c r="E108" i="1" s="1"/>
  <c r="C114" i="1"/>
  <c r="D114" i="1" s="1"/>
  <c r="E114" i="1" s="1"/>
  <c r="C116" i="1"/>
  <c r="D116" i="1" s="1"/>
  <c r="E116" i="1" s="1"/>
  <c r="C124" i="1"/>
  <c r="D124" i="1" s="1"/>
  <c r="E124" i="1" s="1"/>
  <c r="C126" i="1"/>
  <c r="D126" i="1" s="1"/>
  <c r="E126" i="1" s="1"/>
  <c r="C110" i="1"/>
  <c r="D110" i="1" s="1"/>
  <c r="E110" i="1" s="1"/>
  <c r="C155" i="1"/>
  <c r="D155" i="1" s="1"/>
  <c r="E155" i="1" s="1"/>
  <c r="C161" i="1"/>
  <c r="D161" i="1" s="1"/>
  <c r="E161" i="1" s="1"/>
  <c r="C53" i="1"/>
  <c r="D53" i="1" s="1"/>
  <c r="E53" i="1" s="1"/>
  <c r="C50" i="1"/>
  <c r="D50" i="1" s="1"/>
  <c r="E50" i="1" s="1"/>
  <c r="C76" i="1"/>
  <c r="D76" i="1" s="1"/>
  <c r="E76" i="1" s="1"/>
  <c r="C120" i="1"/>
  <c r="D120" i="1" s="1"/>
  <c r="E120" i="1" s="1"/>
  <c r="C130" i="1"/>
  <c r="D130" i="1" s="1"/>
  <c r="E130" i="1" s="1"/>
  <c r="C23" i="1"/>
  <c r="D23" i="1" s="1"/>
  <c r="E23" i="1" s="1"/>
  <c r="C94" i="1"/>
  <c r="D94" i="1" s="1"/>
  <c r="E94" i="1" s="1"/>
  <c r="C4" i="1"/>
  <c r="D4" i="1" s="1"/>
  <c r="E4" i="1" s="1"/>
  <c r="C35" i="1"/>
  <c r="D35" i="1" s="1"/>
  <c r="E35" i="1" s="1"/>
  <c r="C66" i="1"/>
  <c r="D66" i="1" s="1"/>
  <c r="E66" i="1" s="1"/>
  <c r="C68" i="1"/>
  <c r="D68" i="1" s="1"/>
  <c r="E68" i="1" s="1"/>
  <c r="C102" i="1"/>
  <c r="D102" i="1" s="1"/>
  <c r="E102" i="1" s="1"/>
  <c r="C163" i="1"/>
  <c r="D163" i="1" s="1"/>
  <c r="E163" i="1" s="1"/>
  <c r="C21" i="1"/>
  <c r="D21" i="1" s="1"/>
  <c r="E21" i="1" s="1"/>
  <c r="C72" i="1"/>
  <c r="D72" i="1" s="1"/>
  <c r="E72" i="1" s="1"/>
  <c r="C74" i="1"/>
  <c r="D74" i="1" s="1"/>
  <c r="E74" i="1" s="1"/>
  <c r="C106" i="1"/>
  <c r="D106" i="1" s="1"/>
  <c r="E106" i="1" s="1"/>
  <c r="C15" i="1"/>
  <c r="D15" i="1" s="1"/>
  <c r="E15" i="1" s="1"/>
  <c r="C70" i="1"/>
  <c r="D70" i="1" s="1"/>
  <c r="E70" i="1" s="1"/>
  <c r="C80" i="1"/>
  <c r="D80" i="1" s="1"/>
  <c r="E80" i="1" s="1"/>
  <c r="C84" i="1"/>
  <c r="D84" i="1" s="1"/>
  <c r="E84" i="1" s="1"/>
  <c r="C88" i="1"/>
  <c r="D88" i="1" s="1"/>
  <c r="E88" i="1" s="1"/>
  <c r="C92" i="1"/>
  <c r="D92" i="1" s="1"/>
  <c r="E92" i="1" s="1"/>
  <c r="C150" i="1"/>
  <c r="D150" i="1" s="1"/>
  <c r="E150" i="1" s="1"/>
  <c r="C100" i="1"/>
  <c r="D100" i="1" s="1"/>
  <c r="E100" i="1" s="1"/>
  <c r="C140" i="1"/>
  <c r="D140" i="1" s="1"/>
  <c r="E140" i="1" s="1"/>
  <c r="C85" i="1"/>
  <c r="D85" i="1" s="1"/>
  <c r="E85" i="1" s="1"/>
  <c r="C55" i="1"/>
  <c r="D55" i="1" s="1"/>
  <c r="E55" i="1" s="1"/>
</calcChain>
</file>

<file path=xl/sharedStrings.xml><?xml version="1.0" encoding="utf-8"?>
<sst xmlns="http://schemas.openxmlformats.org/spreadsheetml/2006/main" count="1558" uniqueCount="675">
  <si>
    <t>CALCULADA</t>
  </si>
  <si>
    <t>AUTOMATICA - EXTRAIDA DO SISTEMA</t>
  </si>
  <si>
    <t>NFS</t>
  </si>
  <si>
    <t>VALIDAÇÃO</t>
  </si>
  <si>
    <t>PM</t>
  </si>
  <si>
    <t>NUM DE SEMANA</t>
  </si>
  <si>
    <t>AJUSTE COMISSÃO</t>
  </si>
  <si>
    <t>PRAZO 1</t>
  </si>
  <si>
    <t>PRAZO 2</t>
  </si>
  <si>
    <t>PRAZO 3</t>
  </si>
  <si>
    <t>PRAZO 4</t>
  </si>
  <si>
    <t>PRAZO 5</t>
  </si>
  <si>
    <t>PRAZO 6</t>
  </si>
  <si>
    <t>Pedido</t>
  </si>
  <si>
    <t>CFOP</t>
  </si>
  <si>
    <t>Nota Fiscal</t>
  </si>
  <si>
    <t>Data</t>
  </si>
  <si>
    <t>Representante</t>
  </si>
  <si>
    <t>Cliente</t>
  </si>
  <si>
    <t>CMV</t>
  </si>
  <si>
    <t>Valor</t>
  </si>
  <si>
    <t>Valor ST</t>
  </si>
  <si>
    <t>Frete</t>
  </si>
  <si>
    <t>Comissão</t>
  </si>
  <si>
    <t>Sobre recebido</t>
  </si>
  <si>
    <t>Número de peças</t>
  </si>
  <si>
    <t>Tags</t>
  </si>
  <si>
    <t>Forma de pagamento</t>
  </si>
  <si>
    <t>Vencimento(s)</t>
  </si>
  <si>
    <t>Vencimento(s)2</t>
  </si>
  <si>
    <t>Vencimento(s)3</t>
  </si>
  <si>
    <t>Vencimento(s)4</t>
  </si>
  <si>
    <t>Vencimento(s)5</t>
  </si>
  <si>
    <t>Vencimento(s)6</t>
  </si>
  <si>
    <t>4500176827</t>
  </si>
  <si>
    <t>5102</t>
  </si>
  <si>
    <t>000023309</t>
  </si>
  <si>
    <t>30/01/2026</t>
  </si>
  <si>
    <t>Bruno Cavalheiro</t>
  </si>
  <si>
    <t>NUTRIFARM DO BRASIL IMP E EXP DE ING LTDA (SP)</t>
  </si>
  <si>
    <t>1-OC: 9206</t>
  </si>
  <si>
    <t>Depósito em Conta</t>
  </si>
  <si>
    <t>27/02/2026 | 06/03/2026 | 13/03/2026 | 20/03/2026</t>
  </si>
  <si>
    <t>4500176816</t>
  </si>
  <si>
    <t>000023311</t>
  </si>
  <si>
    <t>Carina Apassite</t>
  </si>
  <si>
    <t>BIO ESSENCIALLI IND E COM COSMETICOS EIRELI (SP)</t>
  </si>
  <si>
    <t>1-OC: 794534/1</t>
  </si>
  <si>
    <t>Boleto</t>
  </si>
  <si>
    <t>27/02/2026 | 06/03/2026 | 13/03/2026 | 20/03/2026 | 27/03/2026</t>
  </si>
  <si>
    <t>4500176794</t>
  </si>
  <si>
    <t>5123</t>
  </si>
  <si>
    <t>000023279</t>
  </si>
  <si>
    <t>27/01/2026</t>
  </si>
  <si>
    <t>Enrico Araújo</t>
  </si>
  <si>
    <t>DINAMIK INDUSTRIA, COMERCIO, DISTRIBUICAO E TRANSPORTES LTDA (SP)</t>
  </si>
  <si>
    <t>OPERAÇÃO TRIANGULAR</t>
  </si>
  <si>
    <t>10/02/2026 | 17/02/2026 | 24/02/2026</t>
  </si>
  <si>
    <t>4500176787</t>
  </si>
  <si>
    <t>6102</t>
  </si>
  <si>
    <t>000023268</t>
  </si>
  <si>
    <t>Jéssica Bello</t>
  </si>
  <si>
    <t>LABORATOIRES PHYTO TECHNIQUE BRASIL IND.COM.COSMET.LTDA ME (SC)</t>
  </si>
  <si>
    <t/>
  </si>
  <si>
    <t>03/02/2026</t>
  </si>
  <si>
    <t>4500176756</t>
  </si>
  <si>
    <t>000023255</t>
  </si>
  <si>
    <t>26/01/2026</t>
  </si>
  <si>
    <t>DAHUER LABORATORIO LTDA (SC)</t>
  </si>
  <si>
    <t>1-OC:  009695 /1</t>
  </si>
  <si>
    <t>23/02/2026</t>
  </si>
  <si>
    <t>4500176745</t>
  </si>
  <si>
    <t>000023239</t>
  </si>
  <si>
    <t>23/01/2026</t>
  </si>
  <si>
    <t>Thiago Kanecadan</t>
  </si>
  <si>
    <t>D  F COSMETICOS LTDA (MG)</t>
  </si>
  <si>
    <t>4500176744</t>
  </si>
  <si>
    <t>000023264</t>
  </si>
  <si>
    <t>DERMABEAUTY COSMETICOS EIRELI - EPP (SP)</t>
  </si>
  <si>
    <t>26/02/2026 | 03/03/2026 | 10/03/2026 | 17/03/2026</t>
  </si>
  <si>
    <t>4500176743</t>
  </si>
  <si>
    <t>000023310</t>
  </si>
  <si>
    <t>1-OC: 9240</t>
  </si>
  <si>
    <t>4500176733</t>
  </si>
  <si>
    <t>000023213</t>
  </si>
  <si>
    <t>22/01/2026</t>
  </si>
  <si>
    <t>LUBRICHEMICAL INDUSTRIA E COMERCIO DE LUBRIFICANTES LTDA (SP)</t>
  </si>
  <si>
    <t>1-OC:3343</t>
  </si>
  <si>
    <t>19/02/2026</t>
  </si>
  <si>
    <t>4500176731</t>
  </si>
  <si>
    <t>000023219</t>
  </si>
  <si>
    <t>NATUPHITUS IND. E COM DE COSMETICOS LTDA (PR)</t>
  </si>
  <si>
    <t>1-OC: 18641</t>
  </si>
  <si>
    <t>19/02/2026 | 26/02/2026 | 05/03/2026</t>
  </si>
  <si>
    <t>4500176730</t>
  </si>
  <si>
    <t>000023271</t>
  </si>
  <si>
    <t>BIOPHARCOS BIOTECNOLOGIA PHARMACEUTICA E COSMETICA LTDA (SP)</t>
  </si>
  <si>
    <t>1-OC: 1376</t>
  </si>
  <si>
    <t>10/02/2026</t>
  </si>
  <si>
    <t>4500176726</t>
  </si>
  <si>
    <t>000023215</t>
  </si>
  <si>
    <t>DIMARI INDUSTRIA COMERCIO EXPORTACAO E IMPORTACAO LTDA (BA)</t>
  </si>
  <si>
    <t>29/01/2026</t>
  </si>
  <si>
    <t>4500176724</t>
  </si>
  <si>
    <t>000023216</t>
  </si>
  <si>
    <t>F. CHAUVIN IND. E COM. DE COSMETICOS LTDA (SP)</t>
  </si>
  <si>
    <t>4500176723</t>
  </si>
  <si>
    <t>000023241</t>
  </si>
  <si>
    <t>20/02/2026 | 27/02/2026</t>
  </si>
  <si>
    <t>4500176708</t>
  </si>
  <si>
    <t>000023253</t>
  </si>
  <si>
    <t>Andreia Maia</t>
  </si>
  <si>
    <t>LSV BEAUTY INDUSTRIA E COMERCIO DE COSMETICOS LTDA (SP)</t>
  </si>
  <si>
    <t>4500176702</t>
  </si>
  <si>
    <t>000023227</t>
  </si>
  <si>
    <t>MP INDUSTRIA DE DERMOCOSMETICOS LTDA (SP)</t>
  </si>
  <si>
    <t>12/02/2026 | 19/02/2026 | 26/02/2026 | 05/03/2026</t>
  </si>
  <si>
    <t>4500176701</t>
  </si>
  <si>
    <t>000023179</t>
  </si>
  <si>
    <t>20/01/2026</t>
  </si>
  <si>
    <t>GYP INDUSTRIA DE COSMETICOS EIRELI (ES)</t>
  </si>
  <si>
    <t>24/02/2026</t>
  </si>
  <si>
    <t>4500176697</t>
  </si>
  <si>
    <t>000023184</t>
  </si>
  <si>
    <t>1-OC: 9235</t>
  </si>
  <si>
    <t>17/02/2026 | 24/02/2026</t>
  </si>
  <si>
    <t>4500176694</t>
  </si>
  <si>
    <t>000023183</t>
  </si>
  <si>
    <t>4500176692</t>
  </si>
  <si>
    <t>000023182</t>
  </si>
  <si>
    <t>4500176691</t>
  </si>
  <si>
    <t>000023308</t>
  </si>
  <si>
    <t>4500176682</t>
  </si>
  <si>
    <t>000023234</t>
  </si>
  <si>
    <t>COSMEFAR IND. COM. DE PRODUTOS QUIMICOS LTDA (GO)</t>
  </si>
  <si>
    <t>1-OC:12202</t>
  </si>
  <si>
    <t>20/02/2026 | 27/02/2026 | 06/03/2026</t>
  </si>
  <si>
    <t>4500176676</t>
  </si>
  <si>
    <t>000023287</t>
  </si>
  <si>
    <t>28/01/2026</t>
  </si>
  <si>
    <t>GRAM INDUSTRIA E COMERCIO LTDA (MG)</t>
  </si>
  <si>
    <t>1-OC: 62696, 1-OC: 62897</t>
  </si>
  <si>
    <t>18/02/2026</t>
  </si>
  <si>
    <t>4500176674</t>
  </si>
  <si>
    <t>000023181</t>
  </si>
  <si>
    <t>KLUG INDUSTRIA QUIMICA E DE COSMETICOS LTDA (SP)</t>
  </si>
  <si>
    <t>10/02/2026 | 17/02/2026</t>
  </si>
  <si>
    <t>4500176670</t>
  </si>
  <si>
    <t>000023154</t>
  </si>
  <si>
    <t>19/01/2026</t>
  </si>
  <si>
    <t>1-OC: 009504 /1</t>
  </si>
  <si>
    <t>16/02/2026</t>
  </si>
  <si>
    <t>4500176664</t>
  </si>
  <si>
    <t>000023180</t>
  </si>
  <si>
    <t>PRO NOVA INDUSTRIA E COMERCIO EIRELI EPP (SP)</t>
  </si>
  <si>
    <t>1-OC: 52288</t>
  </si>
  <si>
    <t>17/02/2026</t>
  </si>
  <si>
    <t>4500176663</t>
  </si>
  <si>
    <t>000023177</t>
  </si>
  <si>
    <t>BIOCAP INDUSTRIA DE COSMETICOS - EIRELI (GO)</t>
  </si>
  <si>
    <t>1-OC:3953130</t>
  </si>
  <si>
    <t>17/02/2026 | 24/02/2026 | 03/03/2026 | 10/03/2026</t>
  </si>
  <si>
    <t>4500176658</t>
  </si>
  <si>
    <t>000023185</t>
  </si>
  <si>
    <t>CRUZEIRO ELABORACAO DE PRODUTOS DIVERSIFICADOS LTDA (GO)</t>
  </si>
  <si>
    <t>4500176657</t>
  </si>
  <si>
    <t>6123</t>
  </si>
  <si>
    <t>000023204</t>
  </si>
  <si>
    <t>21/01/2026</t>
  </si>
  <si>
    <t>THE BEAUTY FACTORY INDUSTRIA E COMERCIO DE COSMETICOS LTDA (RJ)</t>
  </si>
  <si>
    <t>OPERAÇÃO TRIANGULAR, 1-OC: 1028</t>
  </si>
  <si>
    <t>04/02/2026 | 11/02/2026 | 18/02/2026 | 25/02/2026 | 04/03/2026</t>
  </si>
  <si>
    <t>4500176655</t>
  </si>
  <si>
    <t>000023128</t>
  </si>
  <si>
    <t>16/01/2026</t>
  </si>
  <si>
    <t>BIO SCIENTIFIC IND DE COSM LTDA (SP)</t>
  </si>
  <si>
    <t>1-OC: 710037</t>
  </si>
  <si>
    <t>Outros</t>
  </si>
  <si>
    <t>15/06/2026</t>
  </si>
  <si>
    <t>4500176650</t>
  </si>
  <si>
    <t>000023225</t>
  </si>
  <si>
    <t>FK COSMETICA LTDA (SC)</t>
  </si>
  <si>
    <t>REMESSA / TRIANGULAR, COSMAIDI</t>
  </si>
  <si>
    <t>05/02/2026 | 12/02/2026 | 19/02/2026</t>
  </si>
  <si>
    <t>4500176643</t>
  </si>
  <si>
    <t>000023136</t>
  </si>
  <si>
    <t>TBC PERFUMES E COSMETICOS LTDA (SP)</t>
  </si>
  <si>
    <t>1-OC: 40066, MAX LOVE</t>
  </si>
  <si>
    <t>4500176642</t>
  </si>
  <si>
    <t>000023113</t>
  </si>
  <si>
    <t>15/01/2026</t>
  </si>
  <si>
    <t>ABALO INDUSTRIA E COMERCIO DE COSMETICOS - EIRELI (SP)</t>
  </si>
  <si>
    <t>12/02/2026</t>
  </si>
  <si>
    <t>4500176628</t>
  </si>
  <si>
    <t>000023155</t>
  </si>
  <si>
    <t>D'MARCHE INDUSTRIA DE COSMETICOS LTDA (RS)</t>
  </si>
  <si>
    <t>1-OC:31311</t>
  </si>
  <si>
    <t>09/02/2026 | 16/02/2026</t>
  </si>
  <si>
    <t>4500176626</t>
  </si>
  <si>
    <t>000023114</t>
  </si>
  <si>
    <t>Tania Garcia</t>
  </si>
  <si>
    <t>ADHONAI INDUSTRIA E COMERCIO LTDA (PR)</t>
  </si>
  <si>
    <t>4500176617</t>
  </si>
  <si>
    <t>000023094</t>
  </si>
  <si>
    <t>14/01/2026</t>
  </si>
  <si>
    <t>COSMO INDUSTRIA E COMERCIO DE COSMETICOS S.A (SP)</t>
  </si>
  <si>
    <t>1-OC: 58.326, SALLVE</t>
  </si>
  <si>
    <t>28/02/2026</t>
  </si>
  <si>
    <t>4500176616</t>
  </si>
  <si>
    <t>000023115</t>
  </si>
  <si>
    <t>SENSELLES INDUSTRIA E COMERCIO DE COSMETICOS EIRELI (RS)</t>
  </si>
  <si>
    <t>1-OC: 809</t>
  </si>
  <si>
    <t>4500176614</t>
  </si>
  <si>
    <t>000023112</t>
  </si>
  <si>
    <t>COSMETIC GROUP INDUSTRIA E COMERCIO DE COSMETICOS LTDA (SP)</t>
  </si>
  <si>
    <t>4500176613</t>
  </si>
  <si>
    <t>000023110</t>
  </si>
  <si>
    <t>NEW CONCEPT INDUSTRIA E COMERCIO DE COSMETICOS EIRELI (RS)</t>
  </si>
  <si>
    <t>4500176609</t>
  </si>
  <si>
    <t>000023315</t>
  </si>
  <si>
    <t>LILLA BIOCOSMETICS LTDA (SP)</t>
  </si>
  <si>
    <t>4500176602</t>
  </si>
  <si>
    <t>000023116</t>
  </si>
  <si>
    <t>YUZI INDUSTRIA DE COSMETICOS LTDA (SP)</t>
  </si>
  <si>
    <t>1-OC: 9310</t>
  </si>
  <si>
    <t>4500176580</t>
  </si>
  <si>
    <t>000023299</t>
  </si>
  <si>
    <t>ART VIE INDUSTRIA DE COSMETICOS E SUPLEMENTOS LTDA (PI)</t>
  </si>
  <si>
    <t>4500176574</t>
  </si>
  <si>
    <t>000023138</t>
  </si>
  <si>
    <t>1-OC:3950334, 1-OC:3950340</t>
  </si>
  <si>
    <t>13/02/2026 | 20/02/2026 | 27/02/2026 | 06/03/2026</t>
  </si>
  <si>
    <t>4500176573</t>
  </si>
  <si>
    <t>000023165</t>
  </si>
  <si>
    <t>1-OC: 59.248, LINHA 09, PRINCIPIA</t>
  </si>
  <si>
    <t>02/03/2026</t>
  </si>
  <si>
    <t>4500176572</t>
  </si>
  <si>
    <t>000023047</t>
  </si>
  <si>
    <t>09/01/2026</t>
  </si>
  <si>
    <t>1-OC:3322</t>
  </si>
  <si>
    <t>06/02/2026</t>
  </si>
  <si>
    <t>4500176566</t>
  </si>
  <si>
    <t>000023053</t>
  </si>
  <si>
    <t>VIVER INDUSTRIA E COMERCIO DE COSMETICOS LTDA (SP)</t>
  </si>
  <si>
    <t>4500176565</t>
  </si>
  <si>
    <t>000023055</t>
  </si>
  <si>
    <t>EXAT BEL INDUSTRIA E COMERCIO DE COSMETICOS LTDA (SP)</t>
  </si>
  <si>
    <t>23/01/2026 | 30/01/2026</t>
  </si>
  <si>
    <t>4500176564</t>
  </si>
  <si>
    <t>000023199</t>
  </si>
  <si>
    <t>BELLE ARTI INDUSTRIA E COMERCIO LTDA (MG)</t>
  </si>
  <si>
    <t>1-OC: 6550</t>
  </si>
  <si>
    <t>4500176560</t>
  </si>
  <si>
    <t>000023109</t>
  </si>
  <si>
    <t>CASA GRANADO LABORATORIOS FARMACIAS E DROGARIAS S A (RJ)</t>
  </si>
  <si>
    <t>1-OC: 281018</t>
  </si>
  <si>
    <t>4500176551</t>
  </si>
  <si>
    <t>000023017</t>
  </si>
  <si>
    <t>07/01/2026</t>
  </si>
  <si>
    <t>03/02/2026 | 10/02/2026</t>
  </si>
  <si>
    <t>4500176548</t>
  </si>
  <si>
    <t>000023027</t>
  </si>
  <si>
    <t>04/02/2026 | 11/02/2026 | 18/02/2026 | 25/02/2026</t>
  </si>
  <si>
    <t>4500176543</t>
  </si>
  <si>
    <t>000023034</t>
  </si>
  <si>
    <t>08/01/2026</t>
  </si>
  <si>
    <t>4500176535</t>
  </si>
  <si>
    <t>000023066</t>
  </si>
  <si>
    <t>12/01/2026</t>
  </si>
  <si>
    <t>CORALINA INDUSTRIA E COMERCIO DE COSMETICOS LTDA (PR)</t>
  </si>
  <si>
    <t>4500176531</t>
  </si>
  <si>
    <t>000023028</t>
  </si>
  <si>
    <t>SG INDUSTRIA E COMERCIO DE BOLSAS LTDA (GO)</t>
  </si>
  <si>
    <t>4500176523</t>
  </si>
  <si>
    <t>000022984</t>
  </si>
  <si>
    <t>06/01/2026</t>
  </si>
  <si>
    <t>4500176516</t>
  </si>
  <si>
    <t>000022983</t>
  </si>
  <si>
    <t>DUOTRATO INDUSTRIA E COMERCIO DE COSMETICOS LTDA (GO)</t>
  </si>
  <si>
    <t>03/02/2026 | 10/02/2026 | 17/02/2026</t>
  </si>
  <si>
    <t>4500176508</t>
  </si>
  <si>
    <t>000023270</t>
  </si>
  <si>
    <t>FREEDOM COSMETICOS LTDA (SP)</t>
  </si>
  <si>
    <t>1-OC:66061</t>
  </si>
  <si>
    <t>24/02/2026 | 03/03/2026</t>
  </si>
  <si>
    <t>4500176504</t>
  </si>
  <si>
    <t>000023218</t>
  </si>
  <si>
    <t>DERMAVITA INDUSTRIA E COMERCIO DE PRODUTOS FARM EIRELI (SC)</t>
  </si>
  <si>
    <t>4500176503</t>
  </si>
  <si>
    <t>000023098</t>
  </si>
  <si>
    <t>NATU CHARM INDUSTRIA E COMERCIO DE COSMETICOS LTDA (GO)</t>
  </si>
  <si>
    <t>4500176501</t>
  </si>
  <si>
    <t>000023229</t>
  </si>
  <si>
    <t>NATUSENSE INDUSTRIA E COMERCIO LTDA (PE)</t>
  </si>
  <si>
    <t>12/02/2026 | 19/02/2026 | 26/02/2026</t>
  </si>
  <si>
    <t>4500176496</t>
  </si>
  <si>
    <t>000022980</t>
  </si>
  <si>
    <t>BIOVITAL IND E COM DE ESPEC. COSMECEUTICAS LTDA. (SP)</t>
  </si>
  <si>
    <t>1-OC: 20066</t>
  </si>
  <si>
    <t>4500176473</t>
  </si>
  <si>
    <t>000023153</t>
  </si>
  <si>
    <t>1-OC: 59.248, LINHA 14, PRINCIPIA</t>
  </si>
  <si>
    <t>4500176470</t>
  </si>
  <si>
    <t>000023164</t>
  </si>
  <si>
    <t>4500176466</t>
  </si>
  <si>
    <t>000023152</t>
  </si>
  <si>
    <t>1-OC: 59.248, LINHA 05, PRINCIPIA</t>
  </si>
  <si>
    <t>4500176464</t>
  </si>
  <si>
    <t>000023151</t>
  </si>
  <si>
    <t>1-OC: 59.248, LINHA 02, PRINCIPIA</t>
  </si>
  <si>
    <t>4500176458</t>
  </si>
  <si>
    <t>000023158</t>
  </si>
  <si>
    <t>1-OC: 793471</t>
  </si>
  <si>
    <t>20/02/2026 | 27/02/2026 | 06/03/2026 | 13/03/2026</t>
  </si>
  <si>
    <t>4500176447</t>
  </si>
  <si>
    <t>000023288</t>
  </si>
  <si>
    <t>RTK INDUSTRIA DE COSMETICOS E ALIMENTOS NATURAIS LTDA EPP (DF)</t>
  </si>
  <si>
    <t>4500176441</t>
  </si>
  <si>
    <t>000023067</t>
  </si>
  <si>
    <t>NAZCA COSMETICOS INDUSTRIA E COMERCIO LTDA (SP)</t>
  </si>
  <si>
    <t>1-OC:8257</t>
  </si>
  <si>
    <t>09/02/2026 | 16/02/2026 | 23/02/2026</t>
  </si>
  <si>
    <t>4500176439</t>
  </si>
  <si>
    <t>000023096</t>
  </si>
  <si>
    <t>VIA AROMA IND. DE AROMATIZADORES DE AMBIENTE LTDA (RS)</t>
  </si>
  <si>
    <t>1-OC:24214</t>
  </si>
  <si>
    <t>11/02/2026 | 25/02/2026</t>
  </si>
  <si>
    <t>4500176427</t>
  </si>
  <si>
    <t>6106</t>
  </si>
  <si>
    <t>000023139</t>
  </si>
  <si>
    <t>1-OC: 009193/1</t>
  </si>
  <si>
    <t>13/02/2026</t>
  </si>
  <si>
    <t>4500176425</t>
  </si>
  <si>
    <t>000023054</t>
  </si>
  <si>
    <t>1-OC: 009191/1</t>
  </si>
  <si>
    <t>4500176407</t>
  </si>
  <si>
    <t>000023148</t>
  </si>
  <si>
    <t>1-OC: 57.289, LINHA 01, PRINCIPIA</t>
  </si>
  <si>
    <t>4500176397</t>
  </si>
  <si>
    <t>000023033</t>
  </si>
  <si>
    <t>NANOSCOPING - SOLUCOES EM NANOTECNOLOGIA LTDA (SC)</t>
  </si>
  <si>
    <t>1-OC: PC00768</t>
  </si>
  <si>
    <t>05/02/2026</t>
  </si>
  <si>
    <t>4500176395</t>
  </si>
  <si>
    <t>000022987</t>
  </si>
  <si>
    <t>DDP INDUSTRIA E COMERCIO LTDA (SP)</t>
  </si>
  <si>
    <t>4500176375</t>
  </si>
  <si>
    <t>000023157</t>
  </si>
  <si>
    <t>1-OC: 793233</t>
  </si>
  <si>
    <t>20/02/2026</t>
  </si>
  <si>
    <t>4500176363</t>
  </si>
  <si>
    <t>000022966</t>
  </si>
  <si>
    <t>05/01/2026</t>
  </si>
  <si>
    <t>SAVOY INDUSTRIA DE COSMETICOS SA (GO)</t>
  </si>
  <si>
    <t>1-OC: 4601937880</t>
  </si>
  <si>
    <t>31/03/2026</t>
  </si>
  <si>
    <t>4500176360</t>
  </si>
  <si>
    <t>000023097</t>
  </si>
  <si>
    <t>INTERCOS DO BRASIL IND E COM DE PROD COSMETICOS LTDA (SP)</t>
  </si>
  <si>
    <t>1-OC: 4500006883</t>
  </si>
  <si>
    <t>4500176358</t>
  </si>
  <si>
    <t>000022989</t>
  </si>
  <si>
    <t>LABORATORIO IND. FARMACEUTICO LIFAR LTDA (RS)</t>
  </si>
  <si>
    <t>1-OC: 47693</t>
  </si>
  <si>
    <t>4500176345</t>
  </si>
  <si>
    <t>000023174</t>
  </si>
  <si>
    <t>BRAINFARMA INDUSTRIA QUIMICA E FARMACEUTICA S/A (GO)</t>
  </si>
  <si>
    <t>1-OC: 4100149819</t>
  </si>
  <si>
    <t>4500176344</t>
  </si>
  <si>
    <t>000022985</t>
  </si>
  <si>
    <t>4500176322</t>
  </si>
  <si>
    <t>000022999</t>
  </si>
  <si>
    <t>BELVITTA DERMOCOSMETICOS LTDA (SP)</t>
  </si>
  <si>
    <t>4500176318</t>
  </si>
  <si>
    <t>000023289</t>
  </si>
  <si>
    <t>SCIENCEUTICALS INDUSTRIA  INOVACAO EM COSMETICOS LTDA (PR)</t>
  </si>
  <si>
    <t>1-OC: 2779, 1-OC: 2828</t>
  </si>
  <si>
    <t>25/02/2026 | 04/03/2026 | 11/03/2026</t>
  </si>
  <si>
    <t>4500176315</t>
  </si>
  <si>
    <t>000022993</t>
  </si>
  <si>
    <t>FLAGIAN IMPORTACAO E EXPORTACAO LTDA (SP)</t>
  </si>
  <si>
    <t>1-OC:006293 /1</t>
  </si>
  <si>
    <t>27/01/2026 | 03/02/2026 | 10/02/2026</t>
  </si>
  <si>
    <t>4500176308</t>
  </si>
  <si>
    <t>000022979</t>
  </si>
  <si>
    <t>AVLFM INDUSTRIA DE COSMETICOS LTDA (ES)</t>
  </si>
  <si>
    <t>1-OC: 8500006574</t>
  </si>
  <si>
    <t>4500176294</t>
  </si>
  <si>
    <t>000023221</t>
  </si>
  <si>
    <t>MOLYGRAFIT INDUSTRIA E COMERCIO LTDA (SP)</t>
  </si>
  <si>
    <t>1-OC: 008527/2025</t>
  </si>
  <si>
    <t>19/02/2026 | 26/02/2026</t>
  </si>
  <si>
    <t>4500176272</t>
  </si>
  <si>
    <t>6110</t>
  </si>
  <si>
    <t>000023021</t>
  </si>
  <si>
    <t>BIOZER DA AMAZONIA IND E COM DE COSMET E FITOT LTDA (AM)</t>
  </si>
  <si>
    <t>04/02/2026</t>
  </si>
  <si>
    <t>4500176257</t>
  </si>
  <si>
    <t>000023130</t>
  </si>
  <si>
    <t>1-OC: 61695</t>
  </si>
  <si>
    <t>4500176243</t>
  </si>
  <si>
    <t>000023202</t>
  </si>
  <si>
    <t>PG PRODUCTS IND. COM. DE VIDROS LTDA (SP)</t>
  </si>
  <si>
    <t>1-OC: 022343</t>
  </si>
  <si>
    <t>4500176242</t>
  </si>
  <si>
    <t>000023024</t>
  </si>
  <si>
    <t>1-OC: 9212</t>
  </si>
  <si>
    <t>4500176237</t>
  </si>
  <si>
    <t>000023051</t>
  </si>
  <si>
    <t>SOL INDUSTRIA DE COSMETICOS LTDA (RS)</t>
  </si>
  <si>
    <t>4500176234</t>
  </si>
  <si>
    <t>000023272</t>
  </si>
  <si>
    <t>1-OC: 2810</t>
  </si>
  <si>
    <t>24/02/2026 | 03/03/2026 | 10/03/2026 | 17/03/2026 | 24/03/2026</t>
  </si>
  <si>
    <t>4500176222</t>
  </si>
  <si>
    <t>000023228</t>
  </si>
  <si>
    <t>WL INDUSTRIA DE COSMETICOS LTDA (SP)</t>
  </si>
  <si>
    <t>4500176214</t>
  </si>
  <si>
    <t>000023002</t>
  </si>
  <si>
    <t>1-OC: 4601935492</t>
  </si>
  <si>
    <t>4500176198</t>
  </si>
  <si>
    <t>000023105</t>
  </si>
  <si>
    <t>1-OC: 4500211561</t>
  </si>
  <si>
    <t>01/03/2026</t>
  </si>
  <si>
    <t>4500176185</t>
  </si>
  <si>
    <t>000023147</t>
  </si>
  <si>
    <t>LINHA 01, 1-OC: 58.562, PRINCIPIA</t>
  </si>
  <si>
    <t>4500176172</t>
  </si>
  <si>
    <t>000023069</t>
  </si>
  <si>
    <t>1-OC: 58.326, SALLVE, 1-OC: 55.441</t>
  </si>
  <si>
    <t>26/02/2026</t>
  </si>
  <si>
    <t>4500176166</t>
  </si>
  <si>
    <t>000023162</t>
  </si>
  <si>
    <t>FUTURE BRANDS COMERCIO DE COSMETICOS LTDA (PR)</t>
  </si>
  <si>
    <t>1-OC: 2410, REMESSA / TRIANGULAR, UNA, 1-OC: 2493, 1-OC: 2690</t>
  </si>
  <si>
    <t>10/03/2026</t>
  </si>
  <si>
    <t>4500176165</t>
  </si>
  <si>
    <t>000022986</t>
  </si>
  <si>
    <t>AROME COSMETICOS LTDA (MG)</t>
  </si>
  <si>
    <t>4500176158</t>
  </si>
  <si>
    <t>000023012</t>
  </si>
  <si>
    <t>1-OC: 4100146114</t>
  </si>
  <si>
    <t>4500176156</t>
  </si>
  <si>
    <t>000023200</t>
  </si>
  <si>
    <t>ACHE LABORATORIOS FARMACEUTICOS S.A (SP)</t>
  </si>
  <si>
    <t>1-OC: 4800079152</t>
  </si>
  <si>
    <t>4500176153</t>
  </si>
  <si>
    <t>000023095</t>
  </si>
  <si>
    <t>SANTA TEREZINHA INDUSTRIA E COMERCIO LTDA (SC)</t>
  </si>
  <si>
    <t>1-OC: 00867/25</t>
  </si>
  <si>
    <t>11/02/2026 | 18/02/2026 | 25/02/2026</t>
  </si>
  <si>
    <t>4500176145</t>
  </si>
  <si>
    <t>000023078</t>
  </si>
  <si>
    <t>13/01/2026</t>
  </si>
  <si>
    <t>NATURELLE IND E COM DE PRODUTOS NATURAIS LTDA (SP)</t>
  </si>
  <si>
    <t>1-OC: 79943, 1-OC: 79955</t>
  </si>
  <si>
    <t>4500176143</t>
  </si>
  <si>
    <t>000023201</t>
  </si>
  <si>
    <t>1-OC: 4800049000</t>
  </si>
  <si>
    <t>4500176123</t>
  </si>
  <si>
    <t>000023131</t>
  </si>
  <si>
    <t>NATURALLY BIOS LTDA (SC)</t>
  </si>
  <si>
    <t>4500176109</t>
  </si>
  <si>
    <t>000023276</t>
  </si>
  <si>
    <t>1-OC: 710784</t>
  </si>
  <si>
    <t>26/06/2026</t>
  </si>
  <si>
    <t>4500176108</t>
  </si>
  <si>
    <t>000023277</t>
  </si>
  <si>
    <t>1-OC: 710654</t>
  </si>
  <si>
    <t>4500176107</t>
  </si>
  <si>
    <t>000023275</t>
  </si>
  <si>
    <t>1-OC: 710653</t>
  </si>
  <si>
    <t>4500176105</t>
  </si>
  <si>
    <t>000023126</t>
  </si>
  <si>
    <t>1-OC: 710652</t>
  </si>
  <si>
    <t>4500176104</t>
  </si>
  <si>
    <t>000023040</t>
  </si>
  <si>
    <t>1-OC: 710651</t>
  </si>
  <si>
    <t>07/06/2026</t>
  </si>
  <si>
    <t>4500176095</t>
  </si>
  <si>
    <t>000023125</t>
  </si>
  <si>
    <t>1-OC: 709898</t>
  </si>
  <si>
    <t>4500176083</t>
  </si>
  <si>
    <t>000023306</t>
  </si>
  <si>
    <t>COLGATE PALMOLIVE INDUSTRIAL LTDA (SP)</t>
  </si>
  <si>
    <t>1-OC: 4505186572</t>
  </si>
  <si>
    <t>04/05/2026</t>
  </si>
  <si>
    <t>4500176059</t>
  </si>
  <si>
    <t>000023061</t>
  </si>
  <si>
    <t>INDUSTRIA E COMERCIO DE COSMETICOS NATURA LTDA (SP)</t>
  </si>
  <si>
    <t>09/04/2026</t>
  </si>
  <si>
    <t>4500176026</t>
  </si>
  <si>
    <t>000023240</t>
  </si>
  <si>
    <t>ANCLA'S INDUSTRIA E COMERCIO DE COSMETICOS LTDA - EPP (SP)</t>
  </si>
  <si>
    <t>1-OC:3121</t>
  </si>
  <si>
    <t>4500176021</t>
  </si>
  <si>
    <t>000023150</t>
  </si>
  <si>
    <t>1-OC: 57.895, PRINCIPIA, LINHA 02</t>
  </si>
  <si>
    <t>4500176019</t>
  </si>
  <si>
    <t>000023135</t>
  </si>
  <si>
    <t>1-OC: 710390</t>
  </si>
  <si>
    <t>4500176017</t>
  </si>
  <si>
    <t>000023020</t>
  </si>
  <si>
    <t>1-OC: 710515</t>
  </si>
  <si>
    <t>06/06/2026</t>
  </si>
  <si>
    <t>4500175995</t>
  </si>
  <si>
    <t>000023032</t>
  </si>
  <si>
    <t>ASAM INDUSTRIA E COMERCIO, IMPORTACAO DE COSMETICOS LTDA (SP)</t>
  </si>
  <si>
    <t>1-OC:3705</t>
  </si>
  <si>
    <t>29/01/2026 | 05/02/2026 | 12/02/2026</t>
  </si>
  <si>
    <t>4500175941</t>
  </si>
  <si>
    <t>000023269</t>
  </si>
  <si>
    <t>1-OC:39047</t>
  </si>
  <si>
    <t>4500175907</t>
  </si>
  <si>
    <t>000023242</t>
  </si>
  <si>
    <t>ZENAVI CLEAN BEAUTY LTDA (SP)</t>
  </si>
  <si>
    <t>23/01/2026 | 20/02/2026</t>
  </si>
  <si>
    <t>4500175897</t>
  </si>
  <si>
    <t>000023084</t>
  </si>
  <si>
    <t>WECKERLE DO BRASIL LTDA (SP)</t>
  </si>
  <si>
    <t>1-OC:M15081/1</t>
  </si>
  <si>
    <t>4500175882</t>
  </si>
  <si>
    <t>000023023</t>
  </si>
  <si>
    <t>1-OC: 9148</t>
  </si>
  <si>
    <t>4500175871</t>
  </si>
  <si>
    <t>000022991</t>
  </si>
  <si>
    <t>1-OC:749</t>
  </si>
  <si>
    <t>27/01/2026 | 02/02/2026</t>
  </si>
  <si>
    <t>4500175863</t>
  </si>
  <si>
    <t>000023127</t>
  </si>
  <si>
    <t>1-OC: 709959</t>
  </si>
  <si>
    <t>4500175861</t>
  </si>
  <si>
    <t>000023014</t>
  </si>
  <si>
    <t>1-OC: 008506 /1, 1-OC: 008471 /1</t>
  </si>
  <si>
    <t>4500175859</t>
  </si>
  <si>
    <t>000023217</t>
  </si>
  <si>
    <t>INDUSTRIA E COMERCIO DE PRODUTOS DE BELEZA YAMA LTDA (SP)</t>
  </si>
  <si>
    <t>1-OC:139799</t>
  </si>
  <si>
    <t>4500175852</t>
  </si>
  <si>
    <t>000023101</t>
  </si>
  <si>
    <t>INDUSTRIA DE COSMETICOS ADELIA MENDONCA LTDA (MG)</t>
  </si>
  <si>
    <t>11/02/2026 | 18/02/2026 | 25/02/2026 | 04/03/2026</t>
  </si>
  <si>
    <t>4500175839</t>
  </si>
  <si>
    <t>5106</t>
  </si>
  <si>
    <t>000023149</t>
  </si>
  <si>
    <t>1-OC: 57.289, LINHA 07, PRINCIPIA</t>
  </si>
  <si>
    <t>4500175819</t>
  </si>
  <si>
    <t>5119</t>
  </si>
  <si>
    <t>000023056</t>
  </si>
  <si>
    <t>JOY.A CLEAN BEAUTY LTDA (SP)</t>
  </si>
  <si>
    <t>24/01/2026</t>
  </si>
  <si>
    <t>4500175813</t>
  </si>
  <si>
    <t>000022992</t>
  </si>
  <si>
    <t>1-OC:47031</t>
  </si>
  <si>
    <t>4500175775</t>
  </si>
  <si>
    <t>000023070</t>
  </si>
  <si>
    <t>BOTICA COMERCIAL FARMACEUTICA LTDA (PR)</t>
  </si>
  <si>
    <t>1-OC: 5500003292, COD 252411, LINHA 133</t>
  </si>
  <si>
    <t>27/02/2026</t>
  </si>
  <si>
    <t>4500175717</t>
  </si>
  <si>
    <t>000022982</t>
  </si>
  <si>
    <t>1-OC: 4505135167</t>
  </si>
  <si>
    <t>06/04/2026</t>
  </si>
  <si>
    <t>4500175679</t>
  </si>
  <si>
    <t>000023305</t>
  </si>
  <si>
    <t>1-OC: 4505131316</t>
  </si>
  <si>
    <t>4500175643</t>
  </si>
  <si>
    <t>000023203</t>
  </si>
  <si>
    <t>1-OC:M14765 /1, MARY KAY</t>
  </si>
  <si>
    <t>4500175628</t>
  </si>
  <si>
    <t>000022995</t>
  </si>
  <si>
    <t>CO. INDUSTRIA E COMERCIO DE COSMETICOS LTDA (SP)</t>
  </si>
  <si>
    <t>1-OC:3320, ZIEL</t>
  </si>
  <si>
    <t>4500175614</t>
  </si>
  <si>
    <t>000022978</t>
  </si>
  <si>
    <t>1-OC: 8500006452</t>
  </si>
  <si>
    <t>4500175605</t>
  </si>
  <si>
    <t>000023111</t>
  </si>
  <si>
    <t>1-OC: 51077</t>
  </si>
  <si>
    <t>4500175574</t>
  </si>
  <si>
    <t>000023166</t>
  </si>
  <si>
    <t>OPERAÇÃO TRIANGULAR, 1-OC: 1974, ICNB</t>
  </si>
  <si>
    <t>4500175503</t>
  </si>
  <si>
    <t>000022971</t>
  </si>
  <si>
    <t>BOTICA COMERCIAL FARMACEUTICA LTDA (BA)</t>
  </si>
  <si>
    <t>1-OC: 5500000246, COD 253011, LINHA 02</t>
  </si>
  <si>
    <t>4500175502</t>
  </si>
  <si>
    <t>000022970</t>
  </si>
  <si>
    <t>1-OC: 5500003292, COD 253011, LINHA 17</t>
  </si>
  <si>
    <t>4500175490</t>
  </si>
  <si>
    <t>000023132</t>
  </si>
  <si>
    <t>1-OC: 4100135737</t>
  </si>
  <si>
    <t>4500175484</t>
  </si>
  <si>
    <t>000023137</t>
  </si>
  <si>
    <t>1-OC: 38639, BEYOUNG</t>
  </si>
  <si>
    <t>4500175424</t>
  </si>
  <si>
    <t>000022981</t>
  </si>
  <si>
    <t>1-OC: 4505097182</t>
  </si>
  <si>
    <t>4500175418</t>
  </si>
  <si>
    <t>000023019</t>
  </si>
  <si>
    <t>LIBBS FARMACEUTICA LTDA (SP)</t>
  </si>
  <si>
    <t>1-OC: 4800072723</t>
  </si>
  <si>
    <t>4500175401</t>
  </si>
  <si>
    <t>000023073</t>
  </si>
  <si>
    <t>1-OC: 5500003292, COD 252625, LINHA 61</t>
  </si>
  <si>
    <t>4500175400</t>
  </si>
  <si>
    <t>000023142</t>
  </si>
  <si>
    <t>1-OC: 5500003292, COD 252625, LINHA 60</t>
  </si>
  <si>
    <t>06/03/2026</t>
  </si>
  <si>
    <t>4500175399</t>
  </si>
  <si>
    <t>000023251</t>
  </si>
  <si>
    <t>1-OC: 5500003292, COD 252625, LINHA 59</t>
  </si>
  <si>
    <t>13/03/2026</t>
  </si>
  <si>
    <t>4500175381</t>
  </si>
  <si>
    <t>000023156</t>
  </si>
  <si>
    <t>DBE NATURAL DO BRASIL IND COM IMP EXP LTDA (PR)</t>
  </si>
  <si>
    <t>4500175319</t>
  </si>
  <si>
    <t>000023133</t>
  </si>
  <si>
    <t>NATURELLE, OPERAÇÃO TRIANGULAR, 1-OC: 1901</t>
  </si>
  <si>
    <t>07/03/2026</t>
  </si>
  <si>
    <t>4500175209</t>
  </si>
  <si>
    <t>000023025</t>
  </si>
  <si>
    <t>4500175120</t>
  </si>
  <si>
    <t>000023099</t>
  </si>
  <si>
    <t>1-OC: 4100130821</t>
  </si>
  <si>
    <t>11/02/2026</t>
  </si>
  <si>
    <t>4500175094</t>
  </si>
  <si>
    <t>000022967</t>
  </si>
  <si>
    <t>1-OC: 4601899822</t>
  </si>
  <si>
    <t>4500175016</t>
  </si>
  <si>
    <t>000023026</t>
  </si>
  <si>
    <t>1-OC: 9138</t>
  </si>
  <si>
    <t>04/02/2026 | 11/02/2026</t>
  </si>
  <si>
    <t>4500175009</t>
  </si>
  <si>
    <t>000023307</t>
  </si>
  <si>
    <t>1-OC: 9093</t>
  </si>
  <si>
    <t>06/03/2026 | 16/03/2026 | 26/03/2026 | 05/04/2026 | 15/04/2026</t>
  </si>
  <si>
    <t>4500174983</t>
  </si>
  <si>
    <t>000023107</t>
  </si>
  <si>
    <t>1-OC: 4500197010</t>
  </si>
  <si>
    <t>4500174961</t>
  </si>
  <si>
    <t>000023283</t>
  </si>
  <si>
    <t>4500174956</t>
  </si>
  <si>
    <t>000023106</t>
  </si>
  <si>
    <t>1- OC: 8500006330</t>
  </si>
  <si>
    <t>4500174939</t>
  </si>
  <si>
    <t>000022965</t>
  </si>
  <si>
    <t>1-OC: 4505037445</t>
  </si>
  <si>
    <t>4500174877</t>
  </si>
  <si>
    <t>000023187</t>
  </si>
  <si>
    <t>1-OC: 834</t>
  </si>
  <si>
    <t>4500174804</t>
  </si>
  <si>
    <t>000023141</t>
  </si>
  <si>
    <t>1-OC: 5500003292, COD 253483, LINHA 10</t>
  </si>
  <si>
    <t>4500174790</t>
  </si>
  <si>
    <t>000022969</t>
  </si>
  <si>
    <t>1-OC: 5500003292, COD 252581, LINHA 84</t>
  </si>
  <si>
    <t>4500174465</t>
  </si>
  <si>
    <t>000022988</t>
  </si>
  <si>
    <t>COSMETICA INDUSTRIAL REGAL LTDA (RJ)</t>
  </si>
  <si>
    <t>4500174359</t>
  </si>
  <si>
    <t>000023085</t>
  </si>
  <si>
    <t>1-OC: 5500003292, COD 253483, LINHA 09</t>
  </si>
  <si>
    <t>4500174335</t>
  </si>
  <si>
    <t>000023072</t>
  </si>
  <si>
    <t>LINHAS 125/131, 1-OC: 5500003292, COD 252411</t>
  </si>
  <si>
    <t>4500174160</t>
  </si>
  <si>
    <t>000023104</t>
  </si>
  <si>
    <t>1-OC: 4500189675</t>
  </si>
  <si>
    <t>4500174023</t>
  </si>
  <si>
    <t>000023071</t>
  </si>
  <si>
    <t>LINHAS 26/27, 1-OC: 5500000246, COD 252411</t>
  </si>
  <si>
    <t>4500173113</t>
  </si>
  <si>
    <t>000022968</t>
  </si>
  <si>
    <t>LINHAS 58/59/62, 1-OC: 5500003292, COD 252571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</si>
</sst>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4"/>
      <color theme="3"/>
      <name val="Arial"/>
      <family val="1"/>
    </font>
    <font>
      <b/>
      <sz val="14"/>
      <color rgb="FFFFFFFF"/>
      <name val="Arial"/>
      <family val="1"/>
    </font>
    <font>
      <sz val="10"/>
      <color theme="3"/>
      <name val="Arial"/>
      <family val="1"/>
    </font>
    <font>
      <sz val="1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A1A1A1"/>
      </patternFill>
    </fill>
    <fill>
      <patternFill patternType="solid">
        <fgColor rgb="FFA1A1A1"/>
        <bgColor rgb="FFA1A1A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43" fontId="3" fillId="3" borderId="0" xfId="1" applyFont="1" applyFill="1" applyAlignment="1">
      <alignment horizontal="center"/>
    </xf>
    <xf numFmtId="10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/>
    <xf numFmtId="43" fontId="5" fillId="2" borderId="0" xfId="1" applyFont="1" applyFill="1"/>
    <xf numFmtId="10" fontId="5" fillId="2" borderId="0" xfId="2" applyNumberFormat="1" applyFont="1" applyFill="1" applyAlignment="1">
      <alignment horizontal="center"/>
    </xf>
    <xf numFmtId="164" fontId="5" fillId="2" borderId="0" xfId="1" applyNumberFormat="1" applyFont="1" applyFill="1"/>
    <xf numFmtId="0" fontId="6" fillId="0" borderId="0" xfId="0" applyFont="1"/>
    <xf numFmtId="8" fontId="6" fillId="0" borderId="0" xfId="0" applyNumberFormat="1" applyFont="1"/>
    <xf numFmtId="14" fontId="6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0" formatCode="General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1"/>
        <scheme val="none"/>
      </font>
      <numFmt numFmtId="0" formatCode="General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family val="1"/>
        <scheme val="none"/>
      </font>
      <fill>
        <patternFill patternType="solid">
          <fgColor rgb="FFA1A1A1"/>
          <bgColor rgb="FFA1A1A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novasell.sharepoint.com/sites/Administrativo/Documentos%20Partilhados/General/4.%20PLANILHAS%20GERENCIAIS/12.%20COMISS&#213;ES%202026/RELATORIO%20DE%20COMISS&#213;ES%20-%20FEV%202026%20-%20Copia.xlsx" TargetMode="External"/><Relationship Id="rId1" Type="http://schemas.openxmlformats.org/officeDocument/2006/relationships/externalLinkPath" Target="https://innovasell.sharepoint.com/sites/Administrativo/Documentos%20Partilhados/General/4.%20PLANILHAS%20GERENCIAIS/12.%20COMISS&#213;ES%202026/RELATORIO%20DE%20COMISS&#213;ES%20-%20FEV%202026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DE COMISSÕES"/>
      <sheetName val="NF EMITIDA"/>
      <sheetName val="BASE DE FABRICANTES"/>
      <sheetName val="PTAX"/>
      <sheetName val="CFOP"/>
      <sheetName val="PEDIDOS E COMISSOES"/>
      <sheetName val="TESTE FÓRMULA"/>
      <sheetName val="SEMANAS DE PAGAMENTO"/>
      <sheetName val="MOVIMENTAÇÃO DE ESTOQUE"/>
      <sheetName val="DESCONTO CONCEDI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Semanas de Pagamento</v>
          </cell>
          <cell r="B1" t="str">
            <v>COMISSÃO</v>
          </cell>
        </row>
        <row r="2">
          <cell r="A2">
            <v>0</v>
          </cell>
          <cell r="B2">
            <v>2E-3</v>
          </cell>
        </row>
        <row r="3">
          <cell r="A3">
            <v>1</v>
          </cell>
          <cell r="B3">
            <v>2E-3</v>
          </cell>
        </row>
        <row r="4">
          <cell r="A4">
            <v>2</v>
          </cell>
          <cell r="B4">
            <v>1.5E-3</v>
          </cell>
        </row>
        <row r="5">
          <cell r="A5">
            <v>3</v>
          </cell>
          <cell r="B5">
            <v>1E-3</v>
          </cell>
        </row>
        <row r="6">
          <cell r="A6">
            <v>4</v>
          </cell>
          <cell r="B6">
            <v>5.0000000000000001E-4</v>
          </cell>
        </row>
        <row r="7">
          <cell r="A7">
            <v>5</v>
          </cell>
          <cell r="B7">
            <v>-5.0000000000000001E-4</v>
          </cell>
        </row>
        <row r="8">
          <cell r="A8">
            <v>6</v>
          </cell>
          <cell r="B8">
            <v>-1E-3</v>
          </cell>
        </row>
        <row r="9">
          <cell r="A9">
            <v>7</v>
          </cell>
          <cell r="B9">
            <v>-1.5E-3</v>
          </cell>
        </row>
        <row r="10">
          <cell r="A10">
            <v>8</v>
          </cell>
          <cell r="B10">
            <v>-2E-3</v>
          </cell>
        </row>
        <row r="11">
          <cell r="A11">
            <v>9</v>
          </cell>
          <cell r="B11">
            <v>-2.5000000000000001E-3</v>
          </cell>
        </row>
        <row r="12">
          <cell r="A12">
            <v>10</v>
          </cell>
          <cell r="B12">
            <v>-3.0000000000000001E-3</v>
          </cell>
        </row>
        <row r="13">
          <cell r="A13">
            <v>11</v>
          </cell>
          <cell r="B13">
            <v>-3.5000000000000001E-3</v>
          </cell>
        </row>
        <row r="14">
          <cell r="A14">
            <v>12</v>
          </cell>
          <cell r="B14">
            <v>-4.0000000000000001E-3</v>
          </cell>
        </row>
        <row r="15">
          <cell r="A15">
            <v>13</v>
          </cell>
          <cell r="B15">
            <v>-4.5000000000000005E-3</v>
          </cell>
        </row>
      </sheetData>
      <sheetData sheetId="8">
        <row r="1">
          <cell r="A1" t="str">
            <v>CALCULADA</v>
          </cell>
          <cell r="AA1" t="str">
            <v>AUTOMATICA - EXTRAIDA DO SISTEMA</v>
          </cell>
        </row>
        <row r="2">
          <cell r="A2" t="str">
            <v>CODIGO SEM EMBALAGEM</v>
          </cell>
          <cell r="AA2" t="str">
            <v>NF-e</v>
          </cell>
        </row>
        <row r="3">
          <cell r="A3" t="str">
            <v>008008003</v>
          </cell>
          <cell r="AA3" t="str">
            <v>001/000022965</v>
          </cell>
        </row>
        <row r="4">
          <cell r="A4" t="str">
            <v>063004003</v>
          </cell>
          <cell r="AA4" t="str">
            <v>001/000022971</v>
          </cell>
        </row>
        <row r="5">
          <cell r="A5" t="str">
            <v>063004003</v>
          </cell>
          <cell r="AA5" t="str">
            <v>001/000022970</v>
          </cell>
        </row>
        <row r="6">
          <cell r="A6" t="str">
            <v>063004003</v>
          </cell>
          <cell r="AA6" t="str">
            <v>001/000022970</v>
          </cell>
        </row>
        <row r="7">
          <cell r="A7" t="str">
            <v>001004043</v>
          </cell>
          <cell r="AA7" t="str">
            <v>001/000022969</v>
          </cell>
        </row>
        <row r="8">
          <cell r="A8" t="str">
            <v>067004004</v>
          </cell>
          <cell r="AA8" t="str">
            <v>001/000022968</v>
          </cell>
        </row>
        <row r="9">
          <cell r="A9" t="str">
            <v>007002001</v>
          </cell>
          <cell r="AA9" t="str">
            <v>001/000022966</v>
          </cell>
        </row>
        <row r="10">
          <cell r="A10" t="str">
            <v>067004008</v>
          </cell>
          <cell r="AA10" t="str">
            <v>001/000022967</v>
          </cell>
        </row>
        <row r="11">
          <cell r="A11" t="str">
            <v>030004040</v>
          </cell>
          <cell r="AA11" t="str">
            <v>001/000022995</v>
          </cell>
        </row>
        <row r="12">
          <cell r="A12" t="str">
            <v>001004079</v>
          </cell>
          <cell r="AA12" t="str">
            <v>001/000022991</v>
          </cell>
        </row>
        <row r="13">
          <cell r="A13" t="str">
            <v>031004004</v>
          </cell>
          <cell r="AA13" t="str">
            <v>001/000022988</v>
          </cell>
        </row>
        <row r="14">
          <cell r="A14" t="str">
            <v>002004012</v>
          </cell>
          <cell r="AA14" t="str">
            <v>001/000022985</v>
          </cell>
        </row>
        <row r="15">
          <cell r="A15" t="str">
            <v>008008001</v>
          </cell>
          <cell r="AA15" t="str">
            <v>001/000022989</v>
          </cell>
        </row>
        <row r="16">
          <cell r="A16" t="str">
            <v>026005004</v>
          </cell>
          <cell r="AA16" t="str">
            <v>001/000022986</v>
          </cell>
        </row>
        <row r="17">
          <cell r="A17" t="str">
            <v>007002001</v>
          </cell>
          <cell r="AA17" t="str">
            <v>001/000022992</v>
          </cell>
        </row>
        <row r="18">
          <cell r="A18" t="str">
            <v>023005001</v>
          </cell>
          <cell r="AA18" t="str">
            <v>001/000022983</v>
          </cell>
        </row>
        <row r="19">
          <cell r="A19" t="str">
            <v>004003001</v>
          </cell>
          <cell r="AA19" t="str">
            <v>001/000022987</v>
          </cell>
        </row>
        <row r="20">
          <cell r="A20" t="str">
            <v>031004010</v>
          </cell>
          <cell r="AA20" t="str">
            <v>001/000022984</v>
          </cell>
        </row>
        <row r="21">
          <cell r="A21" t="str">
            <v>005005001</v>
          </cell>
          <cell r="AA21" t="str">
            <v>001/000022999</v>
          </cell>
        </row>
        <row r="22">
          <cell r="A22" t="str">
            <v>067004019</v>
          </cell>
          <cell r="AA22" t="str">
            <v>001/000022999</v>
          </cell>
        </row>
        <row r="23">
          <cell r="A23" t="str">
            <v>067004019</v>
          </cell>
          <cell r="AA23" t="str">
            <v>001/000022993</v>
          </cell>
        </row>
        <row r="24">
          <cell r="A24" t="str">
            <v>001004050</v>
          </cell>
          <cell r="AA24" t="str">
            <v>001/000022993</v>
          </cell>
        </row>
        <row r="25">
          <cell r="A25" t="str">
            <v>023005001</v>
          </cell>
          <cell r="AA25" t="str">
            <v>001/000022980</v>
          </cell>
        </row>
        <row r="26">
          <cell r="A26" t="str">
            <v>001004114</v>
          </cell>
          <cell r="AA26" t="str">
            <v>001/000022979</v>
          </cell>
        </row>
        <row r="27">
          <cell r="A27" t="str">
            <v>001004071</v>
          </cell>
          <cell r="AA27" t="str">
            <v>001/000022978</v>
          </cell>
        </row>
        <row r="28">
          <cell r="A28" t="str">
            <v>008008001</v>
          </cell>
          <cell r="AA28" t="str">
            <v>001/000022982</v>
          </cell>
        </row>
        <row r="29">
          <cell r="A29" t="str">
            <v>008008001</v>
          </cell>
          <cell r="AA29" t="str">
            <v>001/000022981</v>
          </cell>
        </row>
        <row r="30">
          <cell r="A30" t="str">
            <v>007002013</v>
          </cell>
          <cell r="AA30" t="str">
            <v>001/000023002</v>
          </cell>
        </row>
        <row r="31">
          <cell r="A31" t="str">
            <v>030004027</v>
          </cell>
          <cell r="AA31" t="str">
            <v>001/000023001</v>
          </cell>
        </row>
        <row r="32">
          <cell r="A32" t="str">
            <v>030004027</v>
          </cell>
          <cell r="AA32" t="str">
            <v>001/000023001</v>
          </cell>
        </row>
        <row r="33">
          <cell r="A33" t="str">
            <v>002004013</v>
          </cell>
          <cell r="AA33" t="str">
            <v>001/000023019</v>
          </cell>
        </row>
        <row r="34">
          <cell r="A34" t="str">
            <v>072004003</v>
          </cell>
          <cell r="AA34" t="str">
            <v>001/000023014</v>
          </cell>
        </row>
        <row r="35">
          <cell r="A35" t="str">
            <v>001004079</v>
          </cell>
          <cell r="AA35" t="str">
            <v>001/000023021</v>
          </cell>
        </row>
        <row r="36">
          <cell r="A36" t="str">
            <v>001004055</v>
          </cell>
          <cell r="AA36" t="str">
            <v>001/000023021</v>
          </cell>
        </row>
        <row r="37">
          <cell r="A37" t="str">
            <v>026005059</v>
          </cell>
          <cell r="AA37" t="str">
            <v>001/000023028</v>
          </cell>
        </row>
        <row r="38">
          <cell r="A38" t="str">
            <v>030004007</v>
          </cell>
          <cell r="AA38" t="str">
            <v>001/000023012</v>
          </cell>
        </row>
        <row r="39">
          <cell r="A39" t="str">
            <v>072004003</v>
          </cell>
          <cell r="AA39" t="str">
            <v>001/000023020</v>
          </cell>
        </row>
        <row r="40">
          <cell r="A40" t="str">
            <v>072004003</v>
          </cell>
          <cell r="AA40" t="str">
            <v>001/000023020</v>
          </cell>
        </row>
        <row r="41">
          <cell r="A41" t="str">
            <v>072004003</v>
          </cell>
          <cell r="AA41" t="str">
            <v>001/000023014</v>
          </cell>
        </row>
        <row r="42">
          <cell r="A42" t="str">
            <v>065003007</v>
          </cell>
          <cell r="AA42" t="str">
            <v>001/000023026</v>
          </cell>
        </row>
        <row r="43">
          <cell r="A43" t="str">
            <v>001004010</v>
          </cell>
          <cell r="AA43" t="str">
            <v>001/000023023</v>
          </cell>
        </row>
        <row r="44">
          <cell r="A44" t="str">
            <v>008014002</v>
          </cell>
          <cell r="AA44" t="str">
            <v>001/000023025</v>
          </cell>
        </row>
        <row r="45">
          <cell r="A45" t="str">
            <v>002004041</v>
          </cell>
          <cell r="AA45" t="str">
            <v>001/000023024</v>
          </cell>
        </row>
        <row r="46">
          <cell r="A46" t="str">
            <v>063004003</v>
          </cell>
          <cell r="AA46" t="str">
            <v>001/000023024</v>
          </cell>
        </row>
        <row r="47">
          <cell r="A47" t="str">
            <v>001004001</v>
          </cell>
          <cell r="AA47" t="str">
            <v>001/000023027</v>
          </cell>
        </row>
        <row r="48">
          <cell r="A48" t="str">
            <v>001004001</v>
          </cell>
          <cell r="AA48" t="str">
            <v>001/000023027</v>
          </cell>
        </row>
        <row r="49">
          <cell r="A49" t="str">
            <v>002004041</v>
          </cell>
          <cell r="AA49" t="str">
            <v>001/000023027</v>
          </cell>
        </row>
        <row r="50">
          <cell r="A50" t="str">
            <v>001004005</v>
          </cell>
          <cell r="AA50" t="str">
            <v>001/000023027</v>
          </cell>
        </row>
        <row r="51">
          <cell r="A51" t="str">
            <v>002004001</v>
          </cell>
          <cell r="AA51" t="str">
            <v>001/000023027</v>
          </cell>
        </row>
        <row r="52">
          <cell r="A52" t="str">
            <v>002004062</v>
          </cell>
          <cell r="AA52" t="str">
            <v>001/000023027</v>
          </cell>
        </row>
        <row r="53">
          <cell r="A53" t="str">
            <v>001004071</v>
          </cell>
          <cell r="AA53" t="str">
            <v>001/000023027</v>
          </cell>
        </row>
        <row r="54">
          <cell r="A54" t="str">
            <v>067004010</v>
          </cell>
          <cell r="AA54" t="str">
            <v>001/000023017</v>
          </cell>
        </row>
        <row r="55">
          <cell r="A55" t="str">
            <v>002004119</v>
          </cell>
          <cell r="AA55" t="str">
            <v>001/000023032</v>
          </cell>
        </row>
        <row r="56">
          <cell r="A56" t="str">
            <v>090004028</v>
          </cell>
          <cell r="AA56" t="str">
            <v>001/000023032</v>
          </cell>
        </row>
        <row r="57">
          <cell r="A57" t="str">
            <v>002004121</v>
          </cell>
          <cell r="AA57" t="str">
            <v>001/000023032</v>
          </cell>
        </row>
        <row r="58">
          <cell r="A58" t="str">
            <v>002004118</v>
          </cell>
          <cell r="AA58" t="str">
            <v>001/000023032</v>
          </cell>
        </row>
        <row r="59">
          <cell r="A59" t="str">
            <v>030004010</v>
          </cell>
          <cell r="AA59" t="str">
            <v>001/000023033</v>
          </cell>
        </row>
        <row r="60">
          <cell r="A60" t="str">
            <v>001004079</v>
          </cell>
          <cell r="AA60" t="str">
            <v>001/000023034</v>
          </cell>
        </row>
        <row r="61">
          <cell r="A61" t="str">
            <v>090004058</v>
          </cell>
          <cell r="AA61" t="str">
            <v>001/000023032</v>
          </cell>
        </row>
        <row r="62">
          <cell r="A62" t="str">
            <v>090004058</v>
          </cell>
          <cell r="AA62" t="str">
            <v>001/000023032</v>
          </cell>
        </row>
        <row r="63">
          <cell r="A63" t="str">
            <v>090004058</v>
          </cell>
          <cell r="AA63" t="str">
            <v>001/000023032</v>
          </cell>
        </row>
        <row r="64">
          <cell r="A64" t="str">
            <v>090004058</v>
          </cell>
          <cell r="AA64" t="str">
            <v>001/000023032</v>
          </cell>
        </row>
        <row r="65">
          <cell r="A65" t="str">
            <v>002004119</v>
          </cell>
          <cell r="AA65" t="str">
            <v>001/000023032</v>
          </cell>
        </row>
        <row r="66">
          <cell r="A66" t="str">
            <v>002004012</v>
          </cell>
          <cell r="AA66" t="str">
            <v>001/000023040</v>
          </cell>
        </row>
        <row r="67">
          <cell r="A67" t="str">
            <v>072004003</v>
          </cell>
          <cell r="AA67" t="str">
            <v>001/000023054</v>
          </cell>
        </row>
        <row r="68">
          <cell r="A68" t="str">
            <v>030004040</v>
          </cell>
          <cell r="AA68" t="str">
            <v>001/000023056</v>
          </cell>
        </row>
        <row r="69">
          <cell r="A69" t="str">
            <v>002004040</v>
          </cell>
          <cell r="AA69" t="str">
            <v>001/000023051</v>
          </cell>
        </row>
        <row r="70">
          <cell r="A70" t="str">
            <v>061004004</v>
          </cell>
          <cell r="AA70" t="str">
            <v>001/000023055</v>
          </cell>
        </row>
        <row r="71">
          <cell r="A71" t="str">
            <v>067004017</v>
          </cell>
          <cell r="AA71" t="str">
            <v>001/000023053</v>
          </cell>
        </row>
        <row r="72">
          <cell r="A72" t="str">
            <v>030004006</v>
          </cell>
          <cell r="AA72" t="str">
            <v>001/000023053</v>
          </cell>
        </row>
        <row r="73">
          <cell r="A73" t="str">
            <v>004003017</v>
          </cell>
          <cell r="AA73" t="str">
            <v>001/000023047</v>
          </cell>
        </row>
        <row r="74">
          <cell r="A74" t="str">
            <v>090004001</v>
          </cell>
          <cell r="AA74" t="str">
            <v>001/000023061</v>
          </cell>
        </row>
        <row r="75">
          <cell r="A75" t="str">
            <v>030004008</v>
          </cell>
          <cell r="AA75" t="str">
            <v>001/000023069</v>
          </cell>
        </row>
        <row r="76">
          <cell r="A76" t="str">
            <v>030004015</v>
          </cell>
          <cell r="AA76" t="str">
            <v>001/000023067</v>
          </cell>
        </row>
        <row r="77">
          <cell r="A77" t="str">
            <v>025004001</v>
          </cell>
          <cell r="AA77" t="str">
            <v>001/000023066</v>
          </cell>
        </row>
        <row r="78">
          <cell r="A78" t="str">
            <v>030004008</v>
          </cell>
          <cell r="AA78" t="str">
            <v>001/000023069</v>
          </cell>
        </row>
        <row r="79">
          <cell r="A79" t="str">
            <v>030004060</v>
          </cell>
          <cell r="AA79" t="str">
            <v>001/000023069</v>
          </cell>
        </row>
        <row r="80">
          <cell r="A80" t="str">
            <v>030004015</v>
          </cell>
          <cell r="AA80" t="str">
            <v>001/000023069</v>
          </cell>
        </row>
        <row r="81">
          <cell r="A81" t="str">
            <v>026005001</v>
          </cell>
          <cell r="AA81" t="str">
            <v>001/000023071</v>
          </cell>
        </row>
        <row r="82">
          <cell r="A82" t="str">
            <v>030004015</v>
          </cell>
          <cell r="AA82" t="str">
            <v>001/000023069</v>
          </cell>
        </row>
        <row r="83">
          <cell r="A83" t="str">
            <v>030004015</v>
          </cell>
          <cell r="AA83" t="str">
            <v>001/000023069</v>
          </cell>
        </row>
        <row r="84">
          <cell r="A84" t="str">
            <v>072004003</v>
          </cell>
          <cell r="AA84" t="str">
            <v>001/000023069</v>
          </cell>
        </row>
        <row r="85">
          <cell r="A85" t="str">
            <v>072004003</v>
          </cell>
          <cell r="AA85" t="str">
            <v>001/000023069</v>
          </cell>
        </row>
        <row r="86">
          <cell r="A86" t="str">
            <v>030004008</v>
          </cell>
          <cell r="AA86" t="str">
            <v>001/000023069</v>
          </cell>
        </row>
        <row r="87">
          <cell r="A87" t="str">
            <v>026005051</v>
          </cell>
          <cell r="AA87" t="str">
            <v>001/000023073</v>
          </cell>
        </row>
        <row r="88">
          <cell r="A88" t="str">
            <v>026005001</v>
          </cell>
          <cell r="AA88" t="str">
            <v>001/000023070</v>
          </cell>
        </row>
        <row r="89">
          <cell r="A89" t="str">
            <v>026005001</v>
          </cell>
          <cell r="AA89" t="str">
            <v>001/000023072</v>
          </cell>
        </row>
        <row r="90">
          <cell r="A90" t="str">
            <v>004003009</v>
          </cell>
          <cell r="AA90" t="str">
            <v>001/000023084</v>
          </cell>
        </row>
        <row r="91">
          <cell r="A91" t="str">
            <v>030004051</v>
          </cell>
          <cell r="AA91" t="str">
            <v>001/000023078</v>
          </cell>
        </row>
        <row r="92">
          <cell r="A92" t="str">
            <v>030004008</v>
          </cell>
          <cell r="AA92" t="str">
            <v>001/000023085</v>
          </cell>
        </row>
        <row r="93">
          <cell r="A93" t="str">
            <v>067004016</v>
          </cell>
          <cell r="AA93" t="str">
            <v>001/000023078</v>
          </cell>
        </row>
        <row r="94">
          <cell r="A94" t="str">
            <v>001004010</v>
          </cell>
          <cell r="AA94" t="str">
            <v>001/000023095</v>
          </cell>
        </row>
        <row r="95">
          <cell r="A95" t="str">
            <v>090004023</v>
          </cell>
          <cell r="AA95" t="str">
            <v>001/000023097</v>
          </cell>
        </row>
        <row r="96">
          <cell r="A96" t="str">
            <v>007002026</v>
          </cell>
          <cell r="AA96" t="str">
            <v>001/000023096</v>
          </cell>
        </row>
        <row r="97">
          <cell r="A97" t="str">
            <v>001004079</v>
          </cell>
          <cell r="AA97" t="str">
            <v>001/000023098</v>
          </cell>
        </row>
        <row r="98">
          <cell r="A98" t="str">
            <v>007002001</v>
          </cell>
          <cell r="AA98" t="str">
            <v>001/000023097</v>
          </cell>
        </row>
        <row r="99">
          <cell r="A99" t="str">
            <v>030004095</v>
          </cell>
          <cell r="AA99" t="str">
            <v>001/000023101</v>
          </cell>
        </row>
        <row r="100">
          <cell r="A100" t="str">
            <v>001004069</v>
          </cell>
          <cell r="AA100" t="str">
            <v>001/000023101</v>
          </cell>
        </row>
        <row r="101">
          <cell r="A101" t="str">
            <v>030004106</v>
          </cell>
          <cell r="AA101" t="str">
            <v>001/000023101</v>
          </cell>
        </row>
        <row r="102">
          <cell r="A102" t="str">
            <v>031004013</v>
          </cell>
          <cell r="AA102" t="str">
            <v>001/000023099</v>
          </cell>
        </row>
        <row r="103">
          <cell r="A103" t="str">
            <v>001004079</v>
          </cell>
          <cell r="AA103" t="str">
            <v>001/000023098</v>
          </cell>
        </row>
        <row r="104">
          <cell r="A104" t="str">
            <v>030004003</v>
          </cell>
          <cell r="AA104" t="str">
            <v>001/000023094</v>
          </cell>
        </row>
        <row r="105">
          <cell r="A105" t="str">
            <v>008014068</v>
          </cell>
          <cell r="AA105" t="str">
            <v>001/000023111</v>
          </cell>
        </row>
        <row r="106">
          <cell r="A106" t="str">
            <v>001004129</v>
          </cell>
          <cell r="AA106" t="str">
            <v>001/000023109</v>
          </cell>
        </row>
        <row r="107">
          <cell r="A107" t="str">
            <v>067004001</v>
          </cell>
          <cell r="AA107" t="str">
            <v>001/000023116</v>
          </cell>
        </row>
        <row r="108">
          <cell r="A108" t="str">
            <v>077004003</v>
          </cell>
          <cell r="AA108" t="str">
            <v>001/000023116</v>
          </cell>
        </row>
        <row r="109">
          <cell r="A109" t="str">
            <v>077004003</v>
          </cell>
          <cell r="AA109" t="str">
            <v>001/000023110</v>
          </cell>
        </row>
        <row r="110">
          <cell r="A110" t="str">
            <v>008014001</v>
          </cell>
          <cell r="AA110" t="str">
            <v>001/000023112</v>
          </cell>
        </row>
        <row r="111">
          <cell r="A111" t="str">
            <v>030004006</v>
          </cell>
          <cell r="AA111" t="str">
            <v>001/000023115</v>
          </cell>
        </row>
        <row r="112">
          <cell r="A112" t="str">
            <v>066004001</v>
          </cell>
          <cell r="AA112" t="str">
            <v>001/000023114</v>
          </cell>
        </row>
        <row r="113">
          <cell r="A113" t="str">
            <v>036004001</v>
          </cell>
          <cell r="AA113" t="str">
            <v>001/000023115</v>
          </cell>
        </row>
        <row r="114">
          <cell r="A114" t="str">
            <v>090004005</v>
          </cell>
          <cell r="AA114" t="str">
            <v>001/000023105</v>
          </cell>
        </row>
        <row r="115">
          <cell r="A115" t="str">
            <v>067004019</v>
          </cell>
          <cell r="AA115" t="str">
            <v>001/000023104</v>
          </cell>
        </row>
        <row r="116">
          <cell r="A116" t="str">
            <v>031004013</v>
          </cell>
          <cell r="AA116" t="str">
            <v>001/000023107</v>
          </cell>
        </row>
        <row r="117">
          <cell r="A117" t="str">
            <v>066004001</v>
          </cell>
          <cell r="AA117" t="str">
            <v>001/000023106</v>
          </cell>
        </row>
        <row r="118">
          <cell r="A118" t="str">
            <v>001004017</v>
          </cell>
          <cell r="AA118" t="str">
            <v>001/000023106</v>
          </cell>
        </row>
        <row r="119">
          <cell r="A119" t="str">
            <v>002004056</v>
          </cell>
          <cell r="AA119" t="str">
            <v>001/000023110</v>
          </cell>
        </row>
        <row r="120">
          <cell r="A120" t="str">
            <v>030004052</v>
          </cell>
          <cell r="AA120" t="str">
            <v>001/000023106</v>
          </cell>
        </row>
        <row r="121">
          <cell r="A121" t="str">
            <v>030004003</v>
          </cell>
          <cell r="AA121" t="str">
            <v>001/000023113</v>
          </cell>
        </row>
        <row r="122">
          <cell r="A122" t="str">
            <v>090004029</v>
          </cell>
          <cell r="AA122" t="str">
            <v>001/000023107</v>
          </cell>
        </row>
        <row r="123">
          <cell r="A123" t="str">
            <v>030004005</v>
          </cell>
          <cell r="AA123" t="str">
            <v>001/000023115</v>
          </cell>
        </row>
        <row r="124">
          <cell r="A124" t="str">
            <v>066004001</v>
          </cell>
          <cell r="AA124" t="str">
            <v>001/000023133</v>
          </cell>
        </row>
        <row r="125">
          <cell r="A125" t="str">
            <v>030004015</v>
          </cell>
          <cell r="AA125" t="str">
            <v>001/000023137</v>
          </cell>
        </row>
        <row r="126">
          <cell r="A126" t="str">
            <v>001004057</v>
          </cell>
          <cell r="AA126" t="str">
            <v>001/000023131</v>
          </cell>
        </row>
        <row r="127">
          <cell r="A127" t="str">
            <v>007002009</v>
          </cell>
          <cell r="AA127" t="str">
            <v>001/000023130</v>
          </cell>
        </row>
        <row r="128">
          <cell r="A128" t="str">
            <v>067004016</v>
          </cell>
          <cell r="AA128" t="str">
            <v>001/000023139</v>
          </cell>
        </row>
        <row r="129">
          <cell r="A129" t="str">
            <v>067004010</v>
          </cell>
          <cell r="AA129" t="str">
            <v>001/000023136</v>
          </cell>
        </row>
        <row r="130">
          <cell r="A130" t="str">
            <v>031004013</v>
          </cell>
          <cell r="AA130" t="str">
            <v>001/000023132</v>
          </cell>
        </row>
        <row r="131">
          <cell r="A131" t="str">
            <v>026005089</v>
          </cell>
          <cell r="AA131" t="str">
            <v>001/000023127</v>
          </cell>
        </row>
        <row r="132">
          <cell r="A132" t="str">
            <v>090004004</v>
          </cell>
          <cell r="AA132" t="str">
            <v>001/000023126</v>
          </cell>
        </row>
        <row r="133">
          <cell r="A133" t="str">
            <v>001004120</v>
          </cell>
          <cell r="AA133" t="str">
            <v>001/000023125</v>
          </cell>
        </row>
        <row r="134">
          <cell r="A134" t="str">
            <v>008008001</v>
          </cell>
          <cell r="AA134" t="str">
            <v>001/000023135</v>
          </cell>
        </row>
        <row r="135">
          <cell r="A135" t="str">
            <v>030004008</v>
          </cell>
          <cell r="AA135" t="str">
            <v>001/000023138</v>
          </cell>
        </row>
        <row r="136">
          <cell r="A136" t="str">
            <v>061004002</v>
          </cell>
          <cell r="AA136" t="str">
            <v>001/000023138</v>
          </cell>
        </row>
        <row r="137">
          <cell r="A137" t="str">
            <v>030004006</v>
          </cell>
          <cell r="AA137" t="str">
            <v>001/000023128</v>
          </cell>
        </row>
        <row r="138">
          <cell r="A138" t="str">
            <v>030004007</v>
          </cell>
          <cell r="AA138" t="str">
            <v>001/000023128</v>
          </cell>
        </row>
        <row r="139">
          <cell r="A139" t="str">
            <v>002004119</v>
          </cell>
          <cell r="AA139" t="str">
            <v>001/000023156</v>
          </cell>
        </row>
        <row r="140">
          <cell r="A140" t="str">
            <v>067004016</v>
          </cell>
          <cell r="AA140" t="str">
            <v>001/000023166</v>
          </cell>
        </row>
        <row r="141">
          <cell r="A141" t="str">
            <v>112004001</v>
          </cell>
          <cell r="AA141" t="str">
            <v>001/000023162</v>
          </cell>
        </row>
        <row r="142">
          <cell r="A142" t="str">
            <v>002004121</v>
          </cell>
          <cell r="AA142" t="str">
            <v>001/000023156</v>
          </cell>
        </row>
        <row r="143">
          <cell r="A143" t="str">
            <v>002004119</v>
          </cell>
          <cell r="AA143" t="str">
            <v>001/000023162</v>
          </cell>
        </row>
        <row r="144">
          <cell r="A144" t="str">
            <v>030004008</v>
          </cell>
          <cell r="AA144" t="str">
            <v>001/000023141</v>
          </cell>
        </row>
        <row r="145">
          <cell r="A145" t="str">
            <v>002004119</v>
          </cell>
          <cell r="AA145" t="str">
            <v>001/000023162</v>
          </cell>
        </row>
        <row r="146">
          <cell r="A146" t="str">
            <v>026005074</v>
          </cell>
          <cell r="AA146" t="str">
            <v>001/000023155</v>
          </cell>
        </row>
        <row r="147">
          <cell r="A147" t="str">
            <v>030004015</v>
          </cell>
          <cell r="AA147" t="str">
            <v>001/000023162</v>
          </cell>
        </row>
        <row r="148">
          <cell r="A148" t="str">
            <v>030004005</v>
          </cell>
          <cell r="AA148" t="str">
            <v>001/000023162</v>
          </cell>
        </row>
        <row r="149">
          <cell r="A149" t="str">
            <v>030004003</v>
          </cell>
          <cell r="AA149" t="str">
            <v>001/000023154</v>
          </cell>
        </row>
        <row r="150">
          <cell r="A150" t="str">
            <v>030004008</v>
          </cell>
          <cell r="AA150" t="str">
            <v>001/000023154</v>
          </cell>
        </row>
        <row r="151">
          <cell r="A151" t="str">
            <v>001004063</v>
          </cell>
          <cell r="AA151" t="str">
            <v>001/000023157</v>
          </cell>
        </row>
        <row r="152">
          <cell r="A152" t="str">
            <v>002004041</v>
          </cell>
          <cell r="AA152" t="str">
            <v>001/000023158</v>
          </cell>
        </row>
        <row r="153">
          <cell r="A153" t="str">
            <v>001004043</v>
          </cell>
          <cell r="AA153" t="str">
            <v>001/000023158</v>
          </cell>
        </row>
        <row r="154">
          <cell r="A154" t="str">
            <v>001004010</v>
          </cell>
          <cell r="AA154" t="str">
            <v>001/000023158</v>
          </cell>
        </row>
        <row r="155">
          <cell r="A155" t="str">
            <v>026005051</v>
          </cell>
          <cell r="AA155" t="str">
            <v>001/000023142</v>
          </cell>
        </row>
        <row r="156">
          <cell r="A156" t="str">
            <v>061004005</v>
          </cell>
          <cell r="AA156" t="str">
            <v>001/000023148</v>
          </cell>
        </row>
        <row r="157">
          <cell r="A157" t="str">
            <v>067004016</v>
          </cell>
          <cell r="AA157" t="str">
            <v>001/000023149</v>
          </cell>
        </row>
        <row r="158">
          <cell r="A158" t="str">
            <v>067004016</v>
          </cell>
          <cell r="AA158" t="str">
            <v>001/000023149</v>
          </cell>
        </row>
        <row r="159">
          <cell r="A159" t="str">
            <v>067004016</v>
          </cell>
          <cell r="AA159" t="str">
            <v>001/000023149</v>
          </cell>
        </row>
        <row r="160">
          <cell r="A160" t="str">
            <v>067004016</v>
          </cell>
          <cell r="AA160" t="str">
            <v>001/000023149</v>
          </cell>
        </row>
        <row r="161">
          <cell r="A161" t="str">
            <v>067004016</v>
          </cell>
          <cell r="AA161" t="str">
            <v>001/000023149</v>
          </cell>
        </row>
        <row r="162">
          <cell r="A162" t="str">
            <v>096004001</v>
          </cell>
          <cell r="AA162" t="str">
            <v>001/000023147</v>
          </cell>
        </row>
        <row r="163">
          <cell r="A163" t="str">
            <v>061004001</v>
          </cell>
          <cell r="AA163" t="str">
            <v>001/000023150</v>
          </cell>
        </row>
        <row r="164">
          <cell r="A164" t="str">
            <v>030004006</v>
          </cell>
          <cell r="AA164" t="str">
            <v>001/000023151</v>
          </cell>
        </row>
        <row r="165">
          <cell r="A165" t="str">
            <v>030004015</v>
          </cell>
          <cell r="AA165" t="str">
            <v>001/000023152</v>
          </cell>
        </row>
        <row r="166">
          <cell r="A166" t="str">
            <v>030004007</v>
          </cell>
          <cell r="AA166" t="str">
            <v>001/000023153</v>
          </cell>
        </row>
        <row r="167">
          <cell r="A167" t="str">
            <v>067004001</v>
          </cell>
          <cell r="AA167" t="str">
            <v>001/000023165</v>
          </cell>
        </row>
        <row r="168">
          <cell r="A168" t="str">
            <v>030004008</v>
          </cell>
          <cell r="AA168" t="str">
            <v>001/000023164</v>
          </cell>
        </row>
        <row r="169">
          <cell r="A169" t="str">
            <v>030004008</v>
          </cell>
          <cell r="AA169" t="str">
            <v>001/000023164</v>
          </cell>
        </row>
        <row r="170">
          <cell r="A170" t="str">
            <v>067004034</v>
          </cell>
          <cell r="AA170" t="str">
            <v>001/000023187</v>
          </cell>
        </row>
        <row r="171">
          <cell r="A171" t="str">
            <v>005005001</v>
          </cell>
          <cell r="AA171" t="str">
            <v>001/000023185</v>
          </cell>
        </row>
        <row r="172">
          <cell r="A172" t="str">
            <v>008014055</v>
          </cell>
          <cell r="AA172" t="str">
            <v>001/000023180</v>
          </cell>
        </row>
        <row r="173">
          <cell r="A173" t="str">
            <v>008014055</v>
          </cell>
          <cell r="AA173" t="str">
            <v>001/000023180</v>
          </cell>
        </row>
        <row r="174">
          <cell r="A174" t="str">
            <v>008014055</v>
          </cell>
          <cell r="AA174" t="str">
            <v>001/000023180</v>
          </cell>
        </row>
        <row r="175">
          <cell r="A175" t="str">
            <v>002004012</v>
          </cell>
          <cell r="AA175" t="str">
            <v>001/000023174</v>
          </cell>
        </row>
        <row r="176">
          <cell r="A176" t="str">
            <v>067004001</v>
          </cell>
          <cell r="AA176" t="str">
            <v>001/000023181</v>
          </cell>
        </row>
        <row r="177">
          <cell r="A177" t="str">
            <v>030004050</v>
          </cell>
          <cell r="AA177" t="str">
            <v>001/000023181</v>
          </cell>
        </row>
        <row r="178">
          <cell r="A178" t="str">
            <v>001004112</v>
          </cell>
          <cell r="AA178" t="str">
            <v>001/000023181</v>
          </cell>
        </row>
        <row r="179">
          <cell r="A179" t="str">
            <v>031004004</v>
          </cell>
          <cell r="AA179" t="str">
            <v>001/000023181</v>
          </cell>
        </row>
        <row r="180">
          <cell r="A180" t="str">
            <v>061004003</v>
          </cell>
          <cell r="AA180" t="str">
            <v>001/000023177</v>
          </cell>
        </row>
        <row r="181">
          <cell r="A181" t="str">
            <v>001004120</v>
          </cell>
          <cell r="AA181" t="str">
            <v>001/000023182</v>
          </cell>
        </row>
        <row r="182">
          <cell r="A182" t="str">
            <v>001004006</v>
          </cell>
          <cell r="AA182" t="str">
            <v>001/000023183</v>
          </cell>
        </row>
        <row r="183">
          <cell r="A183" t="str">
            <v>002004073</v>
          </cell>
          <cell r="AA183" t="str">
            <v>001/000023181</v>
          </cell>
        </row>
        <row r="184">
          <cell r="A184" t="str">
            <v>001004024</v>
          </cell>
          <cell r="AA184" t="str">
            <v>001/000023184</v>
          </cell>
        </row>
        <row r="185">
          <cell r="A185" t="str">
            <v>067004006</v>
          </cell>
          <cell r="AA185" t="str">
            <v>001/000023179</v>
          </cell>
        </row>
        <row r="186">
          <cell r="A186" t="str">
            <v>030004015</v>
          </cell>
          <cell r="AA186" t="str">
            <v>001/000023179</v>
          </cell>
        </row>
        <row r="187">
          <cell r="A187" t="str">
            <v>030004006</v>
          </cell>
          <cell r="AA187" t="str">
            <v>001/000023187</v>
          </cell>
        </row>
        <row r="188">
          <cell r="A188" t="str">
            <v>008014055</v>
          </cell>
          <cell r="AA188" t="str">
            <v>001/000023180</v>
          </cell>
        </row>
        <row r="189">
          <cell r="A189" t="str">
            <v>030004006</v>
          </cell>
          <cell r="AA189" t="str">
            <v>001/000023181</v>
          </cell>
        </row>
        <row r="190">
          <cell r="A190" t="str">
            <v>066004001</v>
          </cell>
          <cell r="AA190" t="str">
            <v>001/000023201</v>
          </cell>
        </row>
        <row r="191">
          <cell r="A191" t="str">
            <v>072004003</v>
          </cell>
          <cell r="AA191" t="str">
            <v>001/000023199</v>
          </cell>
        </row>
        <row r="192">
          <cell r="A192" t="str">
            <v>063004003</v>
          </cell>
          <cell r="AA192" t="str">
            <v>001/000023204</v>
          </cell>
        </row>
        <row r="193">
          <cell r="A193" t="str">
            <v>030004007</v>
          </cell>
          <cell r="AA193" t="str">
            <v>001/000023204</v>
          </cell>
        </row>
        <row r="194">
          <cell r="A194" t="str">
            <v>061004004</v>
          </cell>
          <cell r="AA194" t="str">
            <v>001/000023204</v>
          </cell>
        </row>
        <row r="195">
          <cell r="A195" t="str">
            <v>031004006</v>
          </cell>
          <cell r="AA195" t="str">
            <v>001/000023200</v>
          </cell>
        </row>
        <row r="196">
          <cell r="A196" t="str">
            <v>004003001</v>
          </cell>
          <cell r="AA196" t="str">
            <v>001/000023202</v>
          </cell>
        </row>
        <row r="197">
          <cell r="A197" t="str">
            <v>026005033</v>
          </cell>
          <cell r="AA197" t="str">
            <v>001/000023203</v>
          </cell>
        </row>
        <row r="198">
          <cell r="A198" t="str">
            <v>061004004</v>
          </cell>
          <cell r="AA198" t="str">
            <v>001/000023204</v>
          </cell>
        </row>
        <row r="199">
          <cell r="A199" t="str">
            <v>030004015</v>
          </cell>
          <cell r="AA199" t="str">
            <v>001/000023217</v>
          </cell>
        </row>
        <row r="200">
          <cell r="A200" t="str">
            <v>030004015</v>
          </cell>
          <cell r="AA200" t="str">
            <v>001/000023217</v>
          </cell>
        </row>
        <row r="201">
          <cell r="A201" t="str">
            <v>002004121</v>
          </cell>
          <cell r="AA201" t="str">
            <v>001/000023228</v>
          </cell>
        </row>
        <row r="202">
          <cell r="A202" t="str">
            <v>002004121</v>
          </cell>
          <cell r="AA202" t="str">
            <v>001/000023229</v>
          </cell>
        </row>
        <row r="203">
          <cell r="A203" t="str">
            <v>067004019</v>
          </cell>
          <cell r="AA203" t="str">
            <v>001/000023229</v>
          </cell>
        </row>
        <row r="204">
          <cell r="A204" t="str">
            <v>063004003</v>
          </cell>
          <cell r="AA204" t="str">
            <v>001/000023218</v>
          </cell>
        </row>
        <row r="205">
          <cell r="A205" t="str">
            <v>063004003</v>
          </cell>
          <cell r="AA205" t="str">
            <v>001/000023225</v>
          </cell>
        </row>
        <row r="206">
          <cell r="A206" t="str">
            <v>067004019</v>
          </cell>
          <cell r="AA206" t="str">
            <v>001/000023227</v>
          </cell>
        </row>
        <row r="207">
          <cell r="A207" t="str">
            <v>001004024</v>
          </cell>
          <cell r="AA207" t="str">
            <v>001/000023227</v>
          </cell>
        </row>
        <row r="208">
          <cell r="A208" t="str">
            <v>066004001</v>
          </cell>
          <cell r="AA208" t="str">
            <v>001/000023227</v>
          </cell>
        </row>
        <row r="209">
          <cell r="A209" t="str">
            <v>002004121</v>
          </cell>
          <cell r="AA209" t="str">
            <v>001/000023227</v>
          </cell>
        </row>
        <row r="210">
          <cell r="A210" t="str">
            <v>004003001</v>
          </cell>
          <cell r="AA210" t="str">
            <v>001/000023221</v>
          </cell>
        </row>
        <row r="211">
          <cell r="A211" t="str">
            <v>001004024</v>
          </cell>
          <cell r="AA211" t="str">
            <v>001/000023216</v>
          </cell>
        </row>
        <row r="212">
          <cell r="A212" t="str">
            <v>063004003</v>
          </cell>
          <cell r="AA212" t="str">
            <v>001/000023216</v>
          </cell>
        </row>
        <row r="213">
          <cell r="A213" t="str">
            <v>083008001</v>
          </cell>
          <cell r="AA213" t="str">
            <v>001/000023215</v>
          </cell>
        </row>
        <row r="214">
          <cell r="A214" t="str">
            <v>030004051</v>
          </cell>
          <cell r="AA214" t="str">
            <v>001/000023228</v>
          </cell>
        </row>
        <row r="215">
          <cell r="A215" t="str">
            <v>110004001</v>
          </cell>
          <cell r="AA215" t="str">
            <v>001/000023228</v>
          </cell>
        </row>
        <row r="216">
          <cell r="A216" t="str">
            <v>110004002</v>
          </cell>
          <cell r="AA216" t="str">
            <v>001/000023228</v>
          </cell>
        </row>
        <row r="217">
          <cell r="A217" t="str">
            <v>063004003</v>
          </cell>
          <cell r="AA217" t="str">
            <v>001/000023227</v>
          </cell>
        </row>
        <row r="218">
          <cell r="A218" t="str">
            <v>030004009</v>
          </cell>
          <cell r="AA218" t="str">
            <v>001/000023219</v>
          </cell>
        </row>
        <row r="219">
          <cell r="A219" t="str">
            <v>004003017</v>
          </cell>
          <cell r="AA219" t="str">
            <v>001/000023213</v>
          </cell>
        </row>
        <row r="220">
          <cell r="A220" t="str">
            <v>001004114</v>
          </cell>
          <cell r="AA220" t="str">
            <v>001/000023242</v>
          </cell>
        </row>
        <row r="221">
          <cell r="A221" t="str">
            <v>002004119</v>
          </cell>
          <cell r="AA221" t="str">
            <v>001/000023242</v>
          </cell>
        </row>
        <row r="222">
          <cell r="A222" t="str">
            <v>004003001</v>
          </cell>
          <cell r="AA222" t="str">
            <v>001/000023240</v>
          </cell>
        </row>
        <row r="223">
          <cell r="A223" t="str">
            <v>066004001</v>
          </cell>
          <cell r="AA223" t="str">
            <v>001/000023241</v>
          </cell>
        </row>
        <row r="224">
          <cell r="A224" t="str">
            <v>008008001</v>
          </cell>
          <cell r="AA224" t="str">
            <v>001/000023241</v>
          </cell>
        </row>
        <row r="225">
          <cell r="A225" t="str">
            <v>063004003</v>
          </cell>
          <cell r="AA225" t="str">
            <v>001/000023234</v>
          </cell>
        </row>
        <row r="226">
          <cell r="A226" t="str">
            <v>002004059</v>
          </cell>
          <cell r="AA226" t="str">
            <v>001/000023241</v>
          </cell>
        </row>
        <row r="227">
          <cell r="A227" t="str">
            <v>090004001</v>
          </cell>
          <cell r="AA227" t="str">
            <v>001/000023239</v>
          </cell>
        </row>
        <row r="228">
          <cell r="A228" t="str">
            <v>001004086</v>
          </cell>
          <cell r="AA228" t="str">
            <v>001/000023242</v>
          </cell>
        </row>
        <row r="229">
          <cell r="A229" t="str">
            <v>004003001</v>
          </cell>
          <cell r="AA229" t="str">
            <v>001/000023241</v>
          </cell>
        </row>
        <row r="230">
          <cell r="A230" t="str">
            <v>030004015</v>
          </cell>
          <cell r="AA230" t="str">
            <v>001/000023253</v>
          </cell>
        </row>
        <row r="231">
          <cell r="A231" t="str">
            <v>030004008</v>
          </cell>
          <cell r="AA231" t="str">
            <v>001/000023255</v>
          </cell>
        </row>
        <row r="232">
          <cell r="A232" t="str">
            <v>030004008</v>
          </cell>
          <cell r="AA232" t="str">
            <v>001/000023255</v>
          </cell>
        </row>
        <row r="233">
          <cell r="A233" t="str">
            <v>067004001</v>
          </cell>
          <cell r="AA233" t="str">
            <v>001/000023255</v>
          </cell>
        </row>
        <row r="234">
          <cell r="A234" t="str">
            <v>026005051</v>
          </cell>
          <cell r="AA234" t="str">
            <v>001/000023251</v>
          </cell>
        </row>
        <row r="235">
          <cell r="A235" t="str">
            <v>002004012</v>
          </cell>
          <cell r="AA235" t="str">
            <v>001/000023272</v>
          </cell>
        </row>
        <row r="236">
          <cell r="A236" t="str">
            <v>067004006</v>
          </cell>
          <cell r="AA236" t="str">
            <v>001/000023272</v>
          </cell>
        </row>
        <row r="237">
          <cell r="A237" t="str">
            <v>008014043</v>
          </cell>
          <cell r="AA237" t="str">
            <v>001/000023269</v>
          </cell>
        </row>
        <row r="238">
          <cell r="A238" t="str">
            <v>008014043</v>
          </cell>
          <cell r="AA238" t="str">
            <v>001/000023269</v>
          </cell>
        </row>
        <row r="239">
          <cell r="A239" t="str">
            <v>061004004</v>
          </cell>
          <cell r="AA239" t="str">
            <v>001/000023271</v>
          </cell>
        </row>
        <row r="240">
          <cell r="A240" t="str">
            <v>031004006</v>
          </cell>
          <cell r="AA240" t="str">
            <v>001/000023264</v>
          </cell>
        </row>
        <row r="241">
          <cell r="A241" t="str">
            <v>066004001</v>
          </cell>
          <cell r="AA241" t="str">
            <v>001/000023264</v>
          </cell>
        </row>
        <row r="242">
          <cell r="A242" t="str">
            <v>002004012</v>
          </cell>
          <cell r="AA242" t="str">
            <v>001/000023270</v>
          </cell>
        </row>
        <row r="243">
          <cell r="A243" t="str">
            <v>061004004</v>
          </cell>
          <cell r="AA243" t="str">
            <v>001/000023268</v>
          </cell>
        </row>
        <row r="244">
          <cell r="A244" t="str">
            <v>031004013</v>
          </cell>
          <cell r="AA244" t="str">
            <v>001/000023279</v>
          </cell>
        </row>
        <row r="245">
          <cell r="A245" t="str">
            <v>002004121</v>
          </cell>
          <cell r="AA245" t="str">
            <v>001/000023276</v>
          </cell>
        </row>
        <row r="246">
          <cell r="A246" t="str">
            <v>072004003</v>
          </cell>
          <cell r="AA246" t="str">
            <v>001/000023277</v>
          </cell>
        </row>
        <row r="247">
          <cell r="A247" t="str">
            <v>001004120</v>
          </cell>
          <cell r="AA247" t="str">
            <v>001/000023275</v>
          </cell>
        </row>
        <row r="248">
          <cell r="A248" t="str">
            <v>023005001</v>
          </cell>
          <cell r="AA248" t="str">
            <v>001/000023288</v>
          </cell>
        </row>
        <row r="249">
          <cell r="A249" t="str">
            <v>007002009</v>
          </cell>
          <cell r="AA249" t="str">
            <v>001/000023287</v>
          </cell>
        </row>
        <row r="250">
          <cell r="A250" t="str">
            <v>004003001</v>
          </cell>
          <cell r="AA250" t="str">
            <v>001/000023289</v>
          </cell>
        </row>
        <row r="251">
          <cell r="A251" t="str">
            <v>090004003</v>
          </cell>
          <cell r="AA251" t="str">
            <v>001/000023283</v>
          </cell>
        </row>
        <row r="252">
          <cell r="A252" t="str">
            <v>002004059</v>
          </cell>
          <cell r="AA252" t="str">
            <v>001/000023289</v>
          </cell>
        </row>
        <row r="253">
          <cell r="A253" t="str">
            <v>030004015</v>
          </cell>
          <cell r="AA253" t="str">
            <v>001/000023287</v>
          </cell>
        </row>
        <row r="254">
          <cell r="A254" t="str">
            <v>063004003</v>
          </cell>
          <cell r="AA254" t="str">
            <v>001/000023283</v>
          </cell>
        </row>
        <row r="255">
          <cell r="A255" t="str">
            <v>004003001</v>
          </cell>
          <cell r="AA255" t="str">
            <v>001/000023299</v>
          </cell>
        </row>
        <row r="256">
          <cell r="A256" t="str">
            <v>002004112</v>
          </cell>
          <cell r="AA256" t="str">
            <v>001/000023299</v>
          </cell>
        </row>
        <row r="257">
          <cell r="A257" t="str">
            <v>092008001</v>
          </cell>
          <cell r="AA257" t="str">
            <v>001/000023315</v>
          </cell>
        </row>
        <row r="258">
          <cell r="A258" t="str">
            <v>030004010</v>
          </cell>
          <cell r="AA258" t="str">
            <v>001/000023311</v>
          </cell>
        </row>
        <row r="259">
          <cell r="A259" t="str">
            <v>030004050</v>
          </cell>
          <cell r="AA259" t="str">
            <v>001/000023311</v>
          </cell>
        </row>
        <row r="260">
          <cell r="A260" t="str">
            <v>051004020</v>
          </cell>
          <cell r="AA260" t="str">
            <v>001/000023311</v>
          </cell>
        </row>
        <row r="261">
          <cell r="A261" t="str">
            <v>001004111</v>
          </cell>
          <cell r="AA261" t="str">
            <v>001/000023311</v>
          </cell>
        </row>
        <row r="262">
          <cell r="A262" t="str">
            <v>001004051</v>
          </cell>
          <cell r="AA262" t="str">
            <v>001/000023311</v>
          </cell>
        </row>
        <row r="263">
          <cell r="A263" t="str">
            <v>063004018</v>
          </cell>
          <cell r="AA263" t="str">
            <v>001/000023311</v>
          </cell>
        </row>
        <row r="264">
          <cell r="A264" t="str">
            <v>030004030</v>
          </cell>
          <cell r="AA264" t="str">
            <v>001/000023311</v>
          </cell>
        </row>
        <row r="265">
          <cell r="A265" t="str">
            <v>011004007</v>
          </cell>
          <cell r="AA265" t="str">
            <v>001/000023311</v>
          </cell>
        </row>
        <row r="266">
          <cell r="A266" t="str">
            <v>063004003</v>
          </cell>
          <cell r="AA266" t="str">
            <v>001/000023311</v>
          </cell>
        </row>
        <row r="267">
          <cell r="A267" t="str">
            <v>008008001</v>
          </cell>
          <cell r="AA267" t="str">
            <v>001/000023306</v>
          </cell>
        </row>
        <row r="268">
          <cell r="A268" t="str">
            <v>008008003</v>
          </cell>
          <cell r="AA268" t="str">
            <v>001/000023305</v>
          </cell>
        </row>
        <row r="269">
          <cell r="A269" t="str">
            <v>001004001</v>
          </cell>
          <cell r="AA269" t="str">
            <v>001/000023309</v>
          </cell>
        </row>
        <row r="270">
          <cell r="A270" t="str">
            <v>001004058</v>
          </cell>
          <cell r="AA270" t="str">
            <v>001/000023309</v>
          </cell>
        </row>
        <row r="271">
          <cell r="A271" t="str">
            <v>001004069</v>
          </cell>
          <cell r="AA271" t="str">
            <v>001/000023309</v>
          </cell>
        </row>
        <row r="272">
          <cell r="A272" t="str">
            <v>023005001</v>
          </cell>
          <cell r="AA272" t="str">
            <v>001/000023310</v>
          </cell>
        </row>
        <row r="273">
          <cell r="A273" t="str">
            <v>002004121</v>
          </cell>
          <cell r="AA273" t="str">
            <v>001/000023308</v>
          </cell>
        </row>
        <row r="274">
          <cell r="A274" t="str">
            <v>002004012</v>
          </cell>
          <cell r="AA274" t="str">
            <v>001/000023307</v>
          </cell>
        </row>
        <row r="275">
          <cell r="A275" t="str">
            <v>092008001</v>
          </cell>
          <cell r="AA275" t="str">
            <v>001/000023315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1198F-085B-4BAE-8856-14E6A2BD81A1}" name="PEDIDOS" displayName="PEDIDOS" ref="A2:AF168" totalsRowShown="0" headerRowDxfId="33" dataDxfId="32">
  <autoFilter ref="A2:AF168" xr:uid="{03A1198F-085B-4BAE-8856-14E6A2BD81A1}"/>
  <tableColumns count="32">
    <tableColumn id="17" xr3:uid="{1E50F31C-543B-4AF6-B257-805C939045D2}" name="NFS" dataDxfId="31">
      <calculatedColumnFormula>_xlfn.CONCAT("001/",PEDIDOS[[#This Row],[Nota Fiscal]])</calculatedColumnFormula>
    </tableColumn>
    <tableColumn id="18" xr3:uid="{6AA11CA4-08C3-4404-A6FC-19B4F9F0A00E}" name="VALIDAÇÃO" dataDxfId="30">
      <calculatedColumnFormula>_xlfn.XLOOKUP(PEDIDOS[[#This Row],[NFS]],'[1]MOVIMENTAÇÃO DE ESTOQUE'!AA:AA,'[1]MOVIMENTAÇÃO DE ESTOQUE'!A:A,"NÃO",0,1)</calculatedColumnFormula>
    </tableColumn>
    <tableColumn id="30" xr3:uid="{89811BD8-D9D5-4D14-B5B9-3607288E988A}" name="PM" dataDxfId="29" dataCellStyle="Vírgula">
      <calculatedColumnFormula>IFERROR(SUM(PEDIDOS[[#This Row],[PRAZO 1]:[PRAZO 6]])/COUNT(PEDIDOS[[#This Row],[PRAZO 1]:[PRAZO 6]]),"VERIFICAR")</calculatedColumnFormula>
    </tableColumn>
    <tableColumn id="32" xr3:uid="{FE5B11FF-14AA-48E9-AEE6-E739F802C9C9}" name="NUM DE SEMANA" dataDxfId="28" dataCellStyle="Vírgula">
      <calculatedColumnFormula>PEDIDOS[[#This Row],[PM]]/7</calculatedColumnFormula>
    </tableColumn>
    <tableColumn id="33" xr3:uid="{86B089F7-A344-4359-8079-289585DDE04D}" name="AJUSTE COMISSÃO" dataDxfId="27" dataCellStyle="Porcentagem">
      <calculatedColumnFormula>IF(PEDIDOS[[#This Row],[NUM DE SEMANA]]=4,0,_xlfn.XLOOKUP(PEDIDOS[[#This Row],[NUM DE SEMANA]],'[1]SEMANAS DE PAGAMENTO'!A:A,'[1]SEMANAS DE PAGAMENTO'!B:B,"VERIFICAR",-1))</calculatedColumnFormula>
    </tableColumn>
    <tableColumn id="24" xr3:uid="{C5DEADAE-D044-4EC7-887A-994B9987225F}" name="PRAZO 1" dataDxfId="26" dataCellStyle="Vírgula">
      <calculatedColumnFormula>IF(AB3&lt;&gt;0,AB3-$O3,"")</calculatedColumnFormula>
    </tableColumn>
    <tableColumn id="23" xr3:uid="{60B4F495-D56E-4E91-852B-5B8EDA6DD44F}" name="PRAZO 2" dataDxfId="25">
      <calculatedColumnFormula>IF(AC3&lt;&gt;"",AC3-$O3,"")</calculatedColumnFormula>
    </tableColumn>
    <tableColumn id="22" xr3:uid="{A739BCAF-3E6A-4DF7-ACD1-A7312C2BF101}" name="PRAZO 3" dataDxfId="24">
      <calculatedColumnFormula>IF(AD3&lt;&gt;"",AD3-$O3,"")</calculatedColumnFormula>
    </tableColumn>
    <tableColumn id="21" xr3:uid="{05552B1D-C251-4F1E-A3E8-889C4DE56A5C}" name="PRAZO 4" dataDxfId="23">
      <calculatedColumnFormula>IF(AE3&lt;&gt;"",AE3-$O3,"")</calculatedColumnFormula>
    </tableColumn>
    <tableColumn id="20" xr3:uid="{FDCF719D-F13E-4BB2-9D5D-1DA96D20695C}" name="PRAZO 5" dataDxfId="22">
      <calculatedColumnFormula>IF(AF3&lt;&gt;"",AF3-$O3,"")</calculatedColumnFormula>
    </tableColumn>
    <tableColumn id="19" xr3:uid="{BAA44B21-1B03-475B-89EC-F383F21DEC02}" name="PRAZO 6" dataDxfId="21">
      <calculatedColumnFormula>IF(AG3&lt;&gt;0,AG3-$O3,"")</calculatedColumnFormula>
    </tableColumn>
    <tableColumn id="1" xr3:uid="{5F650224-B5EF-4295-B664-AD7B88949C32}" name="Pedido" dataDxfId="20"/>
    <tableColumn id="2" xr3:uid="{EC161FF2-AA65-4856-9C7F-17FDAC1C3A94}" name="CFOP" dataDxfId="19"/>
    <tableColumn id="3" xr3:uid="{42906C17-4C07-45AD-BA65-0C256BBFAAD1}" name="Nota Fiscal" dataDxfId="18"/>
    <tableColumn id="4" xr3:uid="{7190A970-2668-4501-9FE7-330C4C40FB0D}" name="Data" dataDxfId="17"/>
    <tableColumn id="5" xr3:uid="{91D78CA2-FA68-495B-AFFF-C0692D693119}" name="Representante" dataDxfId="16"/>
    <tableColumn id="6" xr3:uid="{BEB85E54-FE99-4102-9A73-E895B38114DA}" name="Cliente" dataDxfId="15"/>
    <tableColumn id="7" xr3:uid="{53353534-903A-4E5D-82B8-8AED5AF94470}" name="CMV" dataDxfId="14"/>
    <tableColumn id="8" xr3:uid="{C425DCE8-6252-44F1-86F8-A7ACEA7EF5AE}" name="Valor" dataDxfId="13"/>
    <tableColumn id="9" xr3:uid="{2CC3BCD1-C63B-41C1-9C20-54C1DB0DCC06}" name="Valor ST" dataDxfId="12"/>
    <tableColumn id="10" xr3:uid="{6FA45912-5279-409F-8D2D-2E8B5A80CE02}" name="Frete" dataDxfId="11"/>
    <tableColumn id="11" xr3:uid="{7B1204C4-ADD9-4761-8FD3-9AC41634FE06}" name="Comissão" dataDxfId="10"/>
    <tableColumn id="12" xr3:uid="{390C945D-5FF9-4A2E-B054-1E9F5A0FAE1C}" name="Sobre recebido" dataDxfId="9"/>
    <tableColumn id="13" xr3:uid="{D5030DAC-482C-4E82-916B-068A600E11F5}" name="Número de peças" dataDxfId="8"/>
    <tableColumn id="14" xr3:uid="{A920896F-3541-4E53-9830-AC3281752A95}" name="Tags" dataDxfId="7"/>
    <tableColumn id="15" xr3:uid="{086DE0E8-F429-40F3-8994-F4E8758A2A4E}" name="Forma de pagamento" dataDxfId="6"/>
    <tableColumn id="16" xr3:uid="{6C651949-1276-4E2F-92E5-89A2835806D4}" name="Vencimento(s)" dataDxfId="5"/>
    <tableColumn id="25" xr3:uid="{313766D8-D718-4C8D-87ED-E92E8A497ABC}" name="Vencimento(s)2" dataDxfId="4">
      <calculatedColumnFormula>MID(PEDIDOS[[#This Row],[Vencimento(s)]],1,10)</calculatedColumnFormula>
    </tableColumn>
    <tableColumn id="26" xr3:uid="{04B3B243-2441-4FE8-8BEB-03CCF2F5835A}" name="Vencimento(s)3" dataDxfId="3">
      <calculatedColumnFormula>MID(PEDIDOS[[#This Row],[Vencimento(s)]],14,10)</calculatedColumnFormula>
    </tableColumn>
    <tableColumn id="27" xr3:uid="{5FB5D21A-E2DC-4254-970E-4BBF8E2700AA}" name="Vencimento(s)4" dataDxfId="2">
      <calculatedColumnFormula>MID(PEDIDOS[[#This Row],[Vencimento(s)]],27,10)</calculatedColumnFormula>
    </tableColumn>
    <tableColumn id="28" xr3:uid="{A5E683AA-B330-432D-B52C-32B8F51F08D1}" name="Vencimento(s)5" dataDxfId="1">
      <calculatedColumnFormula>MID(PEDIDOS[[#This Row],[Vencimento(s)]],40,10)</calculatedColumnFormula>
    </tableColumn>
    <tableColumn id="29" xr3:uid="{DC52CBAC-FD30-4558-97A4-9D88B447C3F4}" name="Vencimento(s)6" dataDxfId="0">
      <calculatedColumnFormula>MID(PEDIDOS[[#This Row],[Vencimento(s)]],53,10)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235C-D9F3-4EBD-BCE3-4597ED245FF9}">
  <dimension ref="A1:AF168"/>
  <sheetViews>
    <sheetView tabSelected="1" workbookViewId="0">
      <selection sqref="A1:XFD1048576"/>
    </sheetView>
  </sheetViews>
  <sheetFormatPr defaultColWidth="9.28515625" defaultRowHeight="15" x14ac:dyDescent="0.25"/>
  <cols>
    <col min="1" max="1" width="13.7109375" bestFit="1" customWidth="1"/>
    <col min="2" max="2" width="22.140625" bestFit="1" customWidth="1"/>
    <col min="3" max="3" width="11.85546875" bestFit="1" customWidth="1"/>
    <col min="4" max="4" width="31.28515625" bestFit="1" customWidth="1"/>
    <col min="5" max="5" width="33" bestFit="1" customWidth="1"/>
    <col min="6" max="6" width="19.28515625" bestFit="1" customWidth="1"/>
    <col min="7" max="11" width="17.42578125" bestFit="1" customWidth="1"/>
    <col min="12" max="16" width="34.140625" bestFit="1" customWidth="1"/>
    <col min="17" max="17" width="72.28515625" bestFit="1" customWidth="1"/>
    <col min="18" max="24" width="34.140625" bestFit="1" customWidth="1"/>
    <col min="25" max="25" width="62" bestFit="1" customWidth="1"/>
    <col min="26" max="26" width="34.7109375" bestFit="1" customWidth="1"/>
    <col min="27" max="27" width="54.5703125" bestFit="1" customWidth="1"/>
    <col min="28" max="32" width="34.140625" bestFit="1" customWidth="1"/>
  </cols>
  <sheetData>
    <row r="1" spans="1:32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</row>
    <row r="2" spans="1:32" ht="18" x14ac:dyDescent="0.25">
      <c r="A2" s="3" t="s">
        <v>2</v>
      </c>
      <c r="B2" s="3" t="s">
        <v>3</v>
      </c>
      <c r="C2" s="4" t="s">
        <v>4</v>
      </c>
      <c r="D2" s="4" t="s">
        <v>5</v>
      </c>
      <c r="E2" s="5" t="s">
        <v>6</v>
      </c>
      <c r="F2" s="6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</row>
    <row r="3" spans="1:32" x14ac:dyDescent="0.25">
      <c r="A3" s="8" t="str">
        <f>_xlfn.CONCAT("001/",PEDIDOS[[#This Row],[Nota Fiscal]])</f>
        <v>001/000023309</v>
      </c>
      <c r="B3" s="8" t="str">
        <f>_xlfn.XLOOKUP(PEDIDOS[[#This Row],[NFS]],'[1]MOVIMENTAÇÃO DE ESTOQUE'!AA:AA,'[1]MOVIMENTAÇÃO DE ESTOQUE'!A:A,"NÃO",0,1)</f>
        <v>001004001</v>
      </c>
      <c r="C3" s="9">
        <f>IFERROR(SUM(PEDIDOS[[#This Row],[PRAZO 1]:[PRAZO 6]])/COUNT(PEDIDOS[[#This Row],[PRAZO 1]:[PRAZO 6]]),"VERIFICAR")</f>
        <v>38.5</v>
      </c>
      <c r="D3" s="9">
        <f>PEDIDOS[[#This Row],[PM]]/7</f>
        <v>5.5</v>
      </c>
      <c r="E3" s="10">
        <f>IF(PEDIDOS[[#This Row],[NUM DE SEMANA]]=4,0,_xlfn.XLOOKUP(PEDIDOS[[#This Row],[NUM DE SEMANA]],'[1]SEMANAS DE PAGAMENTO'!A:A,'[1]SEMANAS DE PAGAMENTO'!B:B,"VERIFICAR",-1))</f>
        <v>-5.0000000000000001E-4</v>
      </c>
      <c r="F3" s="11">
        <f>IF(AB3&lt;&gt;0,AB3-$O3,"")</f>
        <v>28</v>
      </c>
      <c r="G3" s="11">
        <f t="shared" ref="G3:J18" si="0">IF(AC3&lt;&gt;"",AC3-$O3,"")</f>
        <v>35</v>
      </c>
      <c r="H3" s="11">
        <f t="shared" si="0"/>
        <v>42</v>
      </c>
      <c r="I3" s="11">
        <f t="shared" si="0"/>
        <v>49</v>
      </c>
      <c r="J3" s="11" t="str">
        <f t="shared" si="0"/>
        <v/>
      </c>
      <c r="K3" s="11" t="str">
        <f t="shared" ref="K3:K66" si="1">IF(AG3&lt;&gt;0,AG3-$O3,"")</f>
        <v/>
      </c>
      <c r="L3" s="12" t="s">
        <v>34</v>
      </c>
      <c r="M3" s="12" t="s">
        <v>35</v>
      </c>
      <c r="N3" s="12" t="s">
        <v>36</v>
      </c>
      <c r="O3" s="12" t="s">
        <v>37</v>
      </c>
      <c r="P3" s="12" t="s">
        <v>38</v>
      </c>
      <c r="Q3" s="12" t="s">
        <v>39</v>
      </c>
      <c r="R3" s="13">
        <v>1843.5825732363</v>
      </c>
      <c r="S3" s="13">
        <v>7527.33</v>
      </c>
      <c r="T3" s="13">
        <v>0</v>
      </c>
      <c r="U3" s="13">
        <v>0</v>
      </c>
      <c r="V3" s="13">
        <v>0</v>
      </c>
      <c r="W3" s="13">
        <v>0</v>
      </c>
      <c r="X3" s="12">
        <v>4</v>
      </c>
      <c r="Y3" s="12" t="s">
        <v>40</v>
      </c>
      <c r="Z3" s="12" t="s">
        <v>41</v>
      </c>
      <c r="AA3" s="12" t="s">
        <v>42</v>
      </c>
      <c r="AB3" s="14" t="str">
        <f>MID(PEDIDOS[[#This Row],[Vencimento(s)]],1,10)</f>
        <v>27/02/2026</v>
      </c>
      <c r="AC3" s="14" t="str">
        <f>MID(PEDIDOS[[#This Row],[Vencimento(s)]],14,10)</f>
        <v>06/03/2026</v>
      </c>
      <c r="AD3" s="14" t="str">
        <f>MID(PEDIDOS[[#This Row],[Vencimento(s)]],27,10)</f>
        <v>13/03/2026</v>
      </c>
      <c r="AE3" s="12" t="str">
        <f>MID(PEDIDOS[[#This Row],[Vencimento(s)]],40,10)</f>
        <v>20/03/2026</v>
      </c>
      <c r="AF3" s="12" t="str">
        <f>MID(PEDIDOS[[#This Row],[Vencimento(s)]],53,10)</f>
        <v/>
      </c>
    </row>
    <row r="4" spans="1:32" x14ac:dyDescent="0.25">
      <c r="A4" s="8" t="str">
        <f>_xlfn.CONCAT("001/",PEDIDOS[[#This Row],[Nota Fiscal]])</f>
        <v>001/000023311</v>
      </c>
      <c r="B4" s="8" t="str">
        <f>_xlfn.XLOOKUP(PEDIDOS[[#This Row],[NFS]],'[1]MOVIMENTAÇÃO DE ESTOQUE'!AA:AA,'[1]MOVIMENTAÇÃO DE ESTOQUE'!A:A,"NÃO",0,1)</f>
        <v>030004010</v>
      </c>
      <c r="C4" s="9">
        <f>IFERROR(SUM(PEDIDOS[[#This Row],[PRAZO 1]:[PRAZO 6]])/COUNT(PEDIDOS[[#This Row],[PRAZO 1]:[PRAZO 6]]),"VERIFICAR")</f>
        <v>42</v>
      </c>
      <c r="D4" s="9">
        <f>PEDIDOS[[#This Row],[PM]]/7</f>
        <v>6</v>
      </c>
      <c r="E4" s="10">
        <f>IF(PEDIDOS[[#This Row],[NUM DE SEMANA]]=4,0,_xlfn.XLOOKUP(PEDIDOS[[#This Row],[NUM DE SEMANA]],'[1]SEMANAS DE PAGAMENTO'!A:A,'[1]SEMANAS DE PAGAMENTO'!B:B,"VERIFICAR",-1))</f>
        <v>-1E-3</v>
      </c>
      <c r="F4" s="11">
        <f t="shared" ref="F4:F67" si="2">IF(AB4&lt;&gt;0,AB4-$O4,"")</f>
        <v>28</v>
      </c>
      <c r="G4" s="11">
        <f t="shared" si="0"/>
        <v>35</v>
      </c>
      <c r="H4" s="11">
        <f t="shared" si="0"/>
        <v>42</v>
      </c>
      <c r="I4" s="11">
        <f t="shared" si="0"/>
        <v>49</v>
      </c>
      <c r="J4" s="11">
        <f t="shared" si="0"/>
        <v>56</v>
      </c>
      <c r="K4" s="11" t="str">
        <f t="shared" si="1"/>
        <v/>
      </c>
      <c r="L4" s="12" t="s">
        <v>43</v>
      </c>
      <c r="M4" s="12" t="s">
        <v>35</v>
      </c>
      <c r="N4" s="12" t="s">
        <v>44</v>
      </c>
      <c r="O4" s="12" t="s">
        <v>37</v>
      </c>
      <c r="P4" s="12" t="s">
        <v>45</v>
      </c>
      <c r="Q4" s="12" t="s">
        <v>46</v>
      </c>
      <c r="R4" s="13">
        <v>30780.455780724002</v>
      </c>
      <c r="S4" s="13">
        <v>64974.84</v>
      </c>
      <c r="T4" s="13">
        <v>0</v>
      </c>
      <c r="U4" s="13">
        <v>0</v>
      </c>
      <c r="V4" s="13">
        <v>0</v>
      </c>
      <c r="W4" s="13">
        <v>0</v>
      </c>
      <c r="X4" s="12">
        <v>19.7</v>
      </c>
      <c r="Y4" s="12" t="s">
        <v>47</v>
      </c>
      <c r="Z4" s="12" t="s">
        <v>48</v>
      </c>
      <c r="AA4" s="12" t="s">
        <v>49</v>
      </c>
      <c r="AB4" s="14" t="str">
        <f>MID(PEDIDOS[[#This Row],[Vencimento(s)]],1,10)</f>
        <v>27/02/2026</v>
      </c>
      <c r="AC4" s="14" t="str">
        <f>MID(PEDIDOS[[#This Row],[Vencimento(s)]],14,10)</f>
        <v>06/03/2026</v>
      </c>
      <c r="AD4" s="14" t="str">
        <f>MID(PEDIDOS[[#This Row],[Vencimento(s)]],27,10)</f>
        <v>13/03/2026</v>
      </c>
      <c r="AE4" s="12" t="str">
        <f>MID(PEDIDOS[[#This Row],[Vencimento(s)]],40,10)</f>
        <v>20/03/2026</v>
      </c>
      <c r="AF4" s="12" t="str">
        <f>MID(PEDIDOS[[#This Row],[Vencimento(s)]],53,10)</f>
        <v>27/03/2026</v>
      </c>
    </row>
    <row r="5" spans="1:32" x14ac:dyDescent="0.25">
      <c r="A5" s="8" t="str">
        <f>_xlfn.CONCAT("001/",PEDIDOS[[#This Row],[Nota Fiscal]])</f>
        <v>001/000023279</v>
      </c>
      <c r="B5" s="8" t="str">
        <f>_xlfn.XLOOKUP(PEDIDOS[[#This Row],[NFS]],'[1]MOVIMENTAÇÃO DE ESTOQUE'!AA:AA,'[1]MOVIMENTAÇÃO DE ESTOQUE'!A:A,"NÃO",0,1)</f>
        <v>031004013</v>
      </c>
      <c r="C5" s="9">
        <f>IFERROR(SUM(PEDIDOS[[#This Row],[PRAZO 1]:[PRAZO 6]])/COUNT(PEDIDOS[[#This Row],[PRAZO 1]:[PRAZO 6]]),"VERIFICAR")</f>
        <v>21</v>
      </c>
      <c r="D5" s="9">
        <f>PEDIDOS[[#This Row],[PM]]/7</f>
        <v>3</v>
      </c>
      <c r="E5" s="10">
        <f>IF(PEDIDOS[[#This Row],[NUM DE SEMANA]]=4,0,_xlfn.XLOOKUP(PEDIDOS[[#This Row],[NUM DE SEMANA]],'[1]SEMANAS DE PAGAMENTO'!A:A,'[1]SEMANAS DE PAGAMENTO'!B:B,"VERIFICAR",-1))</f>
        <v>1E-3</v>
      </c>
      <c r="F5" s="11">
        <f t="shared" si="2"/>
        <v>14</v>
      </c>
      <c r="G5" s="11">
        <f t="shared" si="0"/>
        <v>21</v>
      </c>
      <c r="H5" s="11">
        <f t="shared" si="0"/>
        <v>28</v>
      </c>
      <c r="I5" s="11" t="str">
        <f t="shared" si="0"/>
        <v/>
      </c>
      <c r="J5" s="11" t="str">
        <f t="shared" si="0"/>
        <v/>
      </c>
      <c r="K5" s="11" t="str">
        <f t="shared" si="1"/>
        <v/>
      </c>
      <c r="L5" s="12" t="s">
        <v>50</v>
      </c>
      <c r="M5" s="12" t="s">
        <v>51</v>
      </c>
      <c r="N5" s="12" t="s">
        <v>52</v>
      </c>
      <c r="O5" s="12" t="s">
        <v>53</v>
      </c>
      <c r="P5" s="12" t="s">
        <v>54</v>
      </c>
      <c r="Q5" s="12" t="s">
        <v>55</v>
      </c>
      <c r="R5" s="13">
        <v>1824.008</v>
      </c>
      <c r="S5" s="13">
        <v>5778</v>
      </c>
      <c r="T5" s="13">
        <v>0</v>
      </c>
      <c r="U5" s="13">
        <v>0</v>
      </c>
      <c r="V5" s="13">
        <v>0</v>
      </c>
      <c r="W5" s="13">
        <v>0</v>
      </c>
      <c r="X5" s="12">
        <v>5</v>
      </c>
      <c r="Y5" s="12" t="s">
        <v>56</v>
      </c>
      <c r="Z5" s="12" t="s">
        <v>48</v>
      </c>
      <c r="AA5" s="12" t="s">
        <v>57</v>
      </c>
      <c r="AB5" s="14" t="str">
        <f>MID(PEDIDOS[[#This Row],[Vencimento(s)]],1,10)</f>
        <v>10/02/2026</v>
      </c>
      <c r="AC5" s="14" t="str">
        <f>MID(PEDIDOS[[#This Row],[Vencimento(s)]],14,10)</f>
        <v>17/02/2026</v>
      </c>
      <c r="AD5" s="14" t="str">
        <f>MID(PEDIDOS[[#This Row],[Vencimento(s)]],27,10)</f>
        <v>24/02/2026</v>
      </c>
      <c r="AE5" s="12" t="str">
        <f>MID(PEDIDOS[[#This Row],[Vencimento(s)]],40,10)</f>
        <v/>
      </c>
      <c r="AF5" s="12" t="str">
        <f>MID(PEDIDOS[[#This Row],[Vencimento(s)]],53,10)</f>
        <v/>
      </c>
    </row>
    <row r="6" spans="1:32" x14ac:dyDescent="0.25">
      <c r="A6" s="8" t="str">
        <f>_xlfn.CONCAT("001/",PEDIDOS[[#This Row],[Nota Fiscal]])</f>
        <v>001/000023268</v>
      </c>
      <c r="B6" s="8" t="str">
        <f>_xlfn.XLOOKUP(PEDIDOS[[#This Row],[NFS]],'[1]MOVIMENTAÇÃO DE ESTOQUE'!AA:AA,'[1]MOVIMENTAÇÃO DE ESTOQUE'!A:A,"NÃO",0,1)</f>
        <v>061004004</v>
      </c>
      <c r="C6" s="9">
        <f>IFERROR(SUM(PEDIDOS[[#This Row],[PRAZO 1]:[PRAZO 6]])/COUNT(PEDIDOS[[#This Row],[PRAZO 1]:[PRAZO 6]]),"VERIFICAR")</f>
        <v>7</v>
      </c>
      <c r="D6" s="9">
        <f>PEDIDOS[[#This Row],[PM]]/7</f>
        <v>1</v>
      </c>
      <c r="E6" s="10">
        <f>IF(PEDIDOS[[#This Row],[NUM DE SEMANA]]=4,0,_xlfn.XLOOKUP(PEDIDOS[[#This Row],[NUM DE SEMANA]],'[1]SEMANAS DE PAGAMENTO'!A:A,'[1]SEMANAS DE PAGAMENTO'!B:B,"VERIFICAR",-1))</f>
        <v>2E-3</v>
      </c>
      <c r="F6" s="11">
        <f t="shared" si="2"/>
        <v>7</v>
      </c>
      <c r="G6" s="11" t="str">
        <f t="shared" si="0"/>
        <v/>
      </c>
      <c r="H6" s="11" t="str">
        <f t="shared" si="0"/>
        <v/>
      </c>
      <c r="I6" s="11" t="str">
        <f t="shared" si="0"/>
        <v/>
      </c>
      <c r="J6" s="11" t="str">
        <f t="shared" si="0"/>
        <v/>
      </c>
      <c r="K6" s="11" t="str">
        <f t="shared" si="1"/>
        <v/>
      </c>
      <c r="L6" s="12" t="s">
        <v>58</v>
      </c>
      <c r="M6" s="12" t="s">
        <v>59</v>
      </c>
      <c r="N6" s="12" t="s">
        <v>60</v>
      </c>
      <c r="O6" s="12" t="s">
        <v>53</v>
      </c>
      <c r="P6" s="12" t="s">
        <v>61</v>
      </c>
      <c r="Q6" s="12" t="s">
        <v>62</v>
      </c>
      <c r="R6" s="13">
        <v>33.788987854289999</v>
      </c>
      <c r="S6" s="13">
        <v>169.95</v>
      </c>
      <c r="T6" s="13">
        <v>0</v>
      </c>
      <c r="U6" s="13">
        <v>0</v>
      </c>
      <c r="V6" s="13">
        <v>0</v>
      </c>
      <c r="W6" s="13">
        <v>0</v>
      </c>
      <c r="X6" s="12">
        <v>0.9</v>
      </c>
      <c r="Y6" s="12" t="s">
        <v>63</v>
      </c>
      <c r="Z6" s="12" t="s">
        <v>48</v>
      </c>
      <c r="AA6" s="12" t="s">
        <v>64</v>
      </c>
      <c r="AB6" s="14" t="str">
        <f>MID(PEDIDOS[[#This Row],[Vencimento(s)]],1,10)</f>
        <v>03/02/2026</v>
      </c>
      <c r="AC6" s="14" t="str">
        <f>MID(PEDIDOS[[#This Row],[Vencimento(s)]],14,10)</f>
        <v/>
      </c>
      <c r="AD6" s="14" t="str">
        <f>MID(PEDIDOS[[#This Row],[Vencimento(s)]],27,10)</f>
        <v/>
      </c>
      <c r="AE6" s="12" t="str">
        <f>MID(PEDIDOS[[#This Row],[Vencimento(s)]],40,10)</f>
        <v/>
      </c>
      <c r="AF6" s="12" t="str">
        <f>MID(PEDIDOS[[#This Row],[Vencimento(s)]],53,10)</f>
        <v/>
      </c>
    </row>
    <row r="7" spans="1:32" x14ac:dyDescent="0.25">
      <c r="A7" s="8" t="str">
        <f>_xlfn.CONCAT("001/",PEDIDOS[[#This Row],[Nota Fiscal]])</f>
        <v>001/000023255</v>
      </c>
      <c r="B7" s="8" t="str">
        <f>_xlfn.XLOOKUP(PEDIDOS[[#This Row],[NFS]],'[1]MOVIMENTAÇÃO DE ESTOQUE'!AA:AA,'[1]MOVIMENTAÇÃO DE ESTOQUE'!A:A,"NÃO",0,1)</f>
        <v>030004008</v>
      </c>
      <c r="C7" s="9">
        <f>IFERROR(SUM(PEDIDOS[[#This Row],[PRAZO 1]:[PRAZO 6]])/COUNT(PEDIDOS[[#This Row],[PRAZO 1]:[PRAZO 6]]),"VERIFICAR")</f>
        <v>28</v>
      </c>
      <c r="D7" s="9">
        <f>PEDIDOS[[#This Row],[PM]]/7</f>
        <v>4</v>
      </c>
      <c r="E7" s="10">
        <f>IF(PEDIDOS[[#This Row],[NUM DE SEMANA]]=4,0,_xlfn.XLOOKUP(PEDIDOS[[#This Row],[NUM DE SEMANA]],'[1]SEMANAS DE PAGAMENTO'!A:A,'[1]SEMANAS DE PAGAMENTO'!B:B,"VERIFICAR",-1))</f>
        <v>0</v>
      </c>
      <c r="F7" s="11">
        <f t="shared" si="2"/>
        <v>28</v>
      </c>
      <c r="G7" s="11" t="str">
        <f t="shared" si="0"/>
        <v/>
      </c>
      <c r="H7" s="11" t="str">
        <f t="shared" si="0"/>
        <v/>
      </c>
      <c r="I7" s="11" t="str">
        <f t="shared" si="0"/>
        <v/>
      </c>
      <c r="J7" s="11" t="str">
        <f t="shared" si="0"/>
        <v/>
      </c>
      <c r="K7" s="11" t="str">
        <f t="shared" si="1"/>
        <v/>
      </c>
      <c r="L7" s="12" t="s">
        <v>65</v>
      </c>
      <c r="M7" s="12" t="s">
        <v>59</v>
      </c>
      <c r="N7" s="12" t="s">
        <v>66</v>
      </c>
      <c r="O7" s="12" t="s">
        <v>67</v>
      </c>
      <c r="P7" s="12" t="s">
        <v>61</v>
      </c>
      <c r="Q7" s="12" t="s">
        <v>68</v>
      </c>
      <c r="R7" s="13">
        <v>12640.861138047499</v>
      </c>
      <c r="S7" s="13">
        <v>19191.900000000001</v>
      </c>
      <c r="T7" s="13">
        <v>0</v>
      </c>
      <c r="U7" s="13">
        <v>0</v>
      </c>
      <c r="V7" s="13">
        <v>0</v>
      </c>
      <c r="W7" s="13">
        <v>0</v>
      </c>
      <c r="X7" s="12">
        <v>30</v>
      </c>
      <c r="Y7" s="12" t="s">
        <v>69</v>
      </c>
      <c r="Z7" s="12" t="s">
        <v>48</v>
      </c>
      <c r="AA7" s="12" t="s">
        <v>70</v>
      </c>
      <c r="AB7" s="14" t="str">
        <f>MID(PEDIDOS[[#This Row],[Vencimento(s)]],1,10)</f>
        <v>23/02/2026</v>
      </c>
      <c r="AC7" s="14" t="str">
        <f>MID(PEDIDOS[[#This Row],[Vencimento(s)]],14,10)</f>
        <v/>
      </c>
      <c r="AD7" s="14" t="str">
        <f>MID(PEDIDOS[[#This Row],[Vencimento(s)]],27,10)</f>
        <v/>
      </c>
      <c r="AE7" s="12" t="str">
        <f>MID(PEDIDOS[[#This Row],[Vencimento(s)]],40,10)</f>
        <v/>
      </c>
      <c r="AF7" s="12" t="str">
        <f>MID(PEDIDOS[[#This Row],[Vencimento(s)]],53,10)</f>
        <v/>
      </c>
    </row>
    <row r="8" spans="1:32" x14ac:dyDescent="0.25">
      <c r="A8" s="8" t="str">
        <f>_xlfn.CONCAT("001/",PEDIDOS[[#This Row],[Nota Fiscal]])</f>
        <v>001/000023239</v>
      </c>
      <c r="B8" s="8" t="str">
        <f>_xlfn.XLOOKUP(PEDIDOS[[#This Row],[NFS]],'[1]MOVIMENTAÇÃO DE ESTOQUE'!AA:AA,'[1]MOVIMENTAÇÃO DE ESTOQUE'!A:A,"NÃO",0,1)</f>
        <v>090004001</v>
      </c>
      <c r="C8" s="9">
        <f>IFERROR(SUM(PEDIDOS[[#This Row],[PRAZO 1]:[PRAZO 6]])/COUNT(PEDIDOS[[#This Row],[PRAZO 1]:[PRAZO 6]]),"VERIFICAR")</f>
        <v>7</v>
      </c>
      <c r="D8" s="9">
        <f>PEDIDOS[[#This Row],[PM]]/7</f>
        <v>1</v>
      </c>
      <c r="E8" s="10">
        <f>IF(PEDIDOS[[#This Row],[NUM DE SEMANA]]=4,0,_xlfn.XLOOKUP(PEDIDOS[[#This Row],[NUM DE SEMANA]],'[1]SEMANAS DE PAGAMENTO'!A:A,'[1]SEMANAS DE PAGAMENTO'!B:B,"VERIFICAR",-1))</f>
        <v>2E-3</v>
      </c>
      <c r="F8" s="11">
        <f t="shared" si="2"/>
        <v>7</v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1"/>
        <v/>
      </c>
      <c r="L8" s="12" t="s">
        <v>71</v>
      </c>
      <c r="M8" s="12" t="s">
        <v>59</v>
      </c>
      <c r="N8" s="12" t="s">
        <v>72</v>
      </c>
      <c r="O8" s="12" t="s">
        <v>73</v>
      </c>
      <c r="P8" s="12" t="s">
        <v>74</v>
      </c>
      <c r="Q8" s="12" t="s">
        <v>75</v>
      </c>
      <c r="R8" s="13">
        <v>4397.4631028909998</v>
      </c>
      <c r="S8" s="13">
        <v>9445</v>
      </c>
      <c r="T8" s="13">
        <v>0</v>
      </c>
      <c r="U8" s="13">
        <v>0</v>
      </c>
      <c r="V8" s="13">
        <v>0</v>
      </c>
      <c r="W8" s="13">
        <v>0</v>
      </c>
      <c r="X8" s="12">
        <v>2</v>
      </c>
      <c r="Y8" s="12" t="s">
        <v>63</v>
      </c>
      <c r="Z8" s="12" t="s">
        <v>48</v>
      </c>
      <c r="AA8" s="12" t="s">
        <v>37</v>
      </c>
      <c r="AB8" s="14" t="str">
        <f>MID(PEDIDOS[[#This Row],[Vencimento(s)]],1,10)</f>
        <v>30/01/2026</v>
      </c>
      <c r="AC8" s="14" t="str">
        <f>MID(PEDIDOS[[#This Row],[Vencimento(s)]],14,10)</f>
        <v/>
      </c>
      <c r="AD8" s="14" t="str">
        <f>MID(PEDIDOS[[#This Row],[Vencimento(s)]],27,10)</f>
        <v/>
      </c>
      <c r="AE8" s="12" t="str">
        <f>MID(PEDIDOS[[#This Row],[Vencimento(s)]],40,10)</f>
        <v/>
      </c>
      <c r="AF8" s="12" t="str">
        <f>MID(PEDIDOS[[#This Row],[Vencimento(s)]],53,10)</f>
        <v/>
      </c>
    </row>
    <row r="9" spans="1:32" x14ac:dyDescent="0.25">
      <c r="A9" s="8" t="str">
        <f>_xlfn.CONCAT("001/",PEDIDOS[[#This Row],[Nota Fiscal]])</f>
        <v>001/000023264</v>
      </c>
      <c r="B9" s="8" t="str">
        <f>_xlfn.XLOOKUP(PEDIDOS[[#This Row],[NFS]],'[1]MOVIMENTAÇÃO DE ESTOQUE'!AA:AA,'[1]MOVIMENTAÇÃO DE ESTOQUE'!A:A,"NÃO",0,1)</f>
        <v>031004006</v>
      </c>
      <c r="C9" s="9">
        <f>IFERROR(SUM(PEDIDOS[[#This Row],[PRAZO 1]:[PRAZO 6]])/COUNT(PEDIDOS[[#This Row],[PRAZO 1]:[PRAZO 6]]),"VERIFICAR")</f>
        <v>39</v>
      </c>
      <c r="D9" s="9">
        <f>PEDIDOS[[#This Row],[PM]]/7</f>
        <v>5.5714285714285712</v>
      </c>
      <c r="E9" s="10">
        <f>IF(PEDIDOS[[#This Row],[NUM DE SEMANA]]=4,0,_xlfn.XLOOKUP(PEDIDOS[[#This Row],[NUM DE SEMANA]],'[1]SEMANAS DE PAGAMENTO'!A:A,'[1]SEMANAS DE PAGAMENTO'!B:B,"VERIFICAR",-1))</f>
        <v>-5.0000000000000001E-4</v>
      </c>
      <c r="F9" s="11">
        <f t="shared" si="2"/>
        <v>30</v>
      </c>
      <c r="G9" s="11">
        <f t="shared" si="0"/>
        <v>35</v>
      </c>
      <c r="H9" s="11">
        <f t="shared" si="0"/>
        <v>42</v>
      </c>
      <c r="I9" s="11">
        <f t="shared" si="0"/>
        <v>49</v>
      </c>
      <c r="J9" s="11" t="str">
        <f t="shared" si="0"/>
        <v/>
      </c>
      <c r="K9" s="11" t="str">
        <f t="shared" si="1"/>
        <v/>
      </c>
      <c r="L9" s="12" t="s">
        <v>76</v>
      </c>
      <c r="M9" s="12" t="s">
        <v>35</v>
      </c>
      <c r="N9" s="12" t="s">
        <v>77</v>
      </c>
      <c r="O9" s="12" t="s">
        <v>53</v>
      </c>
      <c r="P9" s="12" t="s">
        <v>61</v>
      </c>
      <c r="Q9" s="12" t="s">
        <v>78</v>
      </c>
      <c r="R9" s="13">
        <v>3330.8713444444002</v>
      </c>
      <c r="S9" s="13">
        <v>7605.23</v>
      </c>
      <c r="T9" s="13">
        <v>0</v>
      </c>
      <c r="U9" s="13">
        <v>0</v>
      </c>
      <c r="V9" s="13">
        <v>0</v>
      </c>
      <c r="W9" s="13">
        <v>0</v>
      </c>
      <c r="X9" s="12">
        <v>3</v>
      </c>
      <c r="Y9" s="12" t="s">
        <v>63</v>
      </c>
      <c r="Z9" s="12" t="s">
        <v>48</v>
      </c>
      <c r="AA9" s="12" t="s">
        <v>79</v>
      </c>
      <c r="AB9" s="14" t="str">
        <f>MID(PEDIDOS[[#This Row],[Vencimento(s)]],1,10)</f>
        <v>26/02/2026</v>
      </c>
      <c r="AC9" s="14" t="str">
        <f>MID(PEDIDOS[[#This Row],[Vencimento(s)]],14,10)</f>
        <v>03/03/2026</v>
      </c>
      <c r="AD9" s="14" t="str">
        <f>MID(PEDIDOS[[#This Row],[Vencimento(s)]],27,10)</f>
        <v>10/03/2026</v>
      </c>
      <c r="AE9" s="12" t="str">
        <f>MID(PEDIDOS[[#This Row],[Vencimento(s)]],40,10)</f>
        <v>17/03/2026</v>
      </c>
      <c r="AF9" s="12" t="str">
        <f>MID(PEDIDOS[[#This Row],[Vencimento(s)]],53,10)</f>
        <v/>
      </c>
    </row>
    <row r="10" spans="1:32" x14ac:dyDescent="0.25">
      <c r="A10" s="8" t="str">
        <f>_xlfn.CONCAT("001/",PEDIDOS[[#This Row],[Nota Fiscal]])</f>
        <v>001/000023310</v>
      </c>
      <c r="B10" s="8" t="str">
        <f>_xlfn.XLOOKUP(PEDIDOS[[#This Row],[NFS]],'[1]MOVIMENTAÇÃO DE ESTOQUE'!AA:AA,'[1]MOVIMENTAÇÃO DE ESTOQUE'!A:A,"NÃO",0,1)</f>
        <v>023005001</v>
      </c>
      <c r="C10" s="9">
        <f>IFERROR(SUM(PEDIDOS[[#This Row],[PRAZO 1]:[PRAZO 6]])/COUNT(PEDIDOS[[#This Row],[PRAZO 1]:[PRAZO 6]]),"VERIFICAR")</f>
        <v>38.5</v>
      </c>
      <c r="D10" s="9">
        <f>PEDIDOS[[#This Row],[PM]]/7</f>
        <v>5.5</v>
      </c>
      <c r="E10" s="10">
        <f>IF(PEDIDOS[[#This Row],[NUM DE SEMANA]]=4,0,_xlfn.XLOOKUP(PEDIDOS[[#This Row],[NUM DE SEMANA]],'[1]SEMANAS DE PAGAMENTO'!A:A,'[1]SEMANAS DE PAGAMENTO'!B:B,"VERIFICAR",-1))</f>
        <v>-5.0000000000000001E-4</v>
      </c>
      <c r="F10" s="11">
        <f t="shared" si="2"/>
        <v>28</v>
      </c>
      <c r="G10" s="11">
        <f t="shared" si="0"/>
        <v>35</v>
      </c>
      <c r="H10" s="11">
        <f t="shared" si="0"/>
        <v>42</v>
      </c>
      <c r="I10" s="11">
        <f t="shared" si="0"/>
        <v>49</v>
      </c>
      <c r="J10" s="11" t="str">
        <f t="shared" si="0"/>
        <v/>
      </c>
      <c r="K10" s="11" t="str">
        <f t="shared" si="1"/>
        <v/>
      </c>
      <c r="L10" s="12" t="s">
        <v>80</v>
      </c>
      <c r="M10" s="12" t="s">
        <v>35</v>
      </c>
      <c r="N10" s="12" t="s">
        <v>81</v>
      </c>
      <c r="O10" s="12" t="s">
        <v>37</v>
      </c>
      <c r="P10" s="12" t="s">
        <v>38</v>
      </c>
      <c r="Q10" s="12" t="s">
        <v>39</v>
      </c>
      <c r="R10" s="13">
        <v>2442.2461407199999</v>
      </c>
      <c r="S10" s="13">
        <v>8318</v>
      </c>
      <c r="T10" s="13">
        <v>0</v>
      </c>
      <c r="U10" s="13">
        <v>0</v>
      </c>
      <c r="V10" s="13">
        <v>0</v>
      </c>
      <c r="W10" s="13">
        <v>0</v>
      </c>
      <c r="X10" s="12">
        <v>50</v>
      </c>
      <c r="Y10" s="12" t="s">
        <v>82</v>
      </c>
      <c r="Z10" s="12" t="s">
        <v>41</v>
      </c>
      <c r="AA10" s="12" t="s">
        <v>42</v>
      </c>
      <c r="AB10" s="14" t="str">
        <f>MID(PEDIDOS[[#This Row],[Vencimento(s)]],1,10)</f>
        <v>27/02/2026</v>
      </c>
      <c r="AC10" s="14" t="str">
        <f>MID(PEDIDOS[[#This Row],[Vencimento(s)]],14,10)</f>
        <v>06/03/2026</v>
      </c>
      <c r="AD10" s="14" t="str">
        <f>MID(PEDIDOS[[#This Row],[Vencimento(s)]],27,10)</f>
        <v>13/03/2026</v>
      </c>
      <c r="AE10" s="12" t="str">
        <f>MID(PEDIDOS[[#This Row],[Vencimento(s)]],40,10)</f>
        <v>20/03/2026</v>
      </c>
      <c r="AF10" s="12" t="str">
        <f>MID(PEDIDOS[[#This Row],[Vencimento(s)]],53,10)</f>
        <v/>
      </c>
    </row>
    <row r="11" spans="1:32" x14ac:dyDescent="0.25">
      <c r="A11" s="8" t="str">
        <f>_xlfn.CONCAT("001/",PEDIDOS[[#This Row],[Nota Fiscal]])</f>
        <v>001/000023213</v>
      </c>
      <c r="B11" s="8" t="str">
        <f>_xlfn.XLOOKUP(PEDIDOS[[#This Row],[NFS]],'[1]MOVIMENTAÇÃO DE ESTOQUE'!AA:AA,'[1]MOVIMENTAÇÃO DE ESTOQUE'!A:A,"NÃO",0,1)</f>
        <v>004003017</v>
      </c>
      <c r="C11" s="9">
        <f>IFERROR(SUM(PEDIDOS[[#This Row],[PRAZO 1]:[PRAZO 6]])/COUNT(PEDIDOS[[#This Row],[PRAZO 1]:[PRAZO 6]]),"VERIFICAR")</f>
        <v>28</v>
      </c>
      <c r="D11" s="9">
        <f>PEDIDOS[[#This Row],[PM]]/7</f>
        <v>4</v>
      </c>
      <c r="E11" s="10">
        <f>IF(PEDIDOS[[#This Row],[NUM DE SEMANA]]=4,0,_xlfn.XLOOKUP(PEDIDOS[[#This Row],[NUM DE SEMANA]],'[1]SEMANAS DE PAGAMENTO'!A:A,'[1]SEMANAS DE PAGAMENTO'!B:B,"VERIFICAR",-1))</f>
        <v>0</v>
      </c>
      <c r="F11" s="11">
        <f t="shared" si="2"/>
        <v>28</v>
      </c>
      <c r="G11" s="11" t="str">
        <f t="shared" si="0"/>
        <v/>
      </c>
      <c r="H11" s="11" t="str">
        <f t="shared" si="0"/>
        <v/>
      </c>
      <c r="I11" s="11" t="str">
        <f t="shared" si="0"/>
        <v/>
      </c>
      <c r="J11" s="11" t="str">
        <f t="shared" si="0"/>
        <v/>
      </c>
      <c r="K11" s="11" t="str">
        <f t="shared" si="1"/>
        <v/>
      </c>
      <c r="L11" s="12" t="s">
        <v>83</v>
      </c>
      <c r="M11" s="12" t="s">
        <v>35</v>
      </c>
      <c r="N11" s="12" t="s">
        <v>84</v>
      </c>
      <c r="O11" s="12" t="s">
        <v>85</v>
      </c>
      <c r="P11" s="12" t="s">
        <v>54</v>
      </c>
      <c r="Q11" s="12" t="s">
        <v>86</v>
      </c>
      <c r="R11" s="13">
        <v>265.322</v>
      </c>
      <c r="S11" s="13">
        <v>533.67999999999995</v>
      </c>
      <c r="T11" s="13">
        <v>0</v>
      </c>
      <c r="U11" s="13">
        <v>0</v>
      </c>
      <c r="V11" s="13">
        <v>0</v>
      </c>
      <c r="W11" s="13">
        <v>0</v>
      </c>
      <c r="X11" s="12">
        <v>1</v>
      </c>
      <c r="Y11" s="12" t="s">
        <v>87</v>
      </c>
      <c r="Z11" s="12" t="s">
        <v>48</v>
      </c>
      <c r="AA11" s="12" t="s">
        <v>88</v>
      </c>
      <c r="AB11" s="14" t="str">
        <f>MID(PEDIDOS[[#This Row],[Vencimento(s)]],1,10)</f>
        <v>19/02/2026</v>
      </c>
      <c r="AC11" s="14" t="str">
        <f>MID(PEDIDOS[[#This Row],[Vencimento(s)]],14,10)</f>
        <v/>
      </c>
      <c r="AD11" s="14" t="str">
        <f>MID(PEDIDOS[[#This Row],[Vencimento(s)]],27,10)</f>
        <v/>
      </c>
      <c r="AE11" s="12" t="str">
        <f>MID(PEDIDOS[[#This Row],[Vencimento(s)]],40,10)</f>
        <v/>
      </c>
      <c r="AF11" s="12" t="str">
        <f>MID(PEDIDOS[[#This Row],[Vencimento(s)]],53,10)</f>
        <v/>
      </c>
    </row>
    <row r="12" spans="1:32" x14ac:dyDescent="0.25">
      <c r="A12" s="8" t="str">
        <f>_xlfn.CONCAT("001/",PEDIDOS[[#This Row],[Nota Fiscal]])</f>
        <v>001/000023219</v>
      </c>
      <c r="B12" s="8" t="str">
        <f>_xlfn.XLOOKUP(PEDIDOS[[#This Row],[NFS]],'[1]MOVIMENTAÇÃO DE ESTOQUE'!AA:AA,'[1]MOVIMENTAÇÃO DE ESTOQUE'!A:A,"NÃO",0,1)</f>
        <v>030004009</v>
      </c>
      <c r="C12" s="9">
        <f>IFERROR(SUM(PEDIDOS[[#This Row],[PRAZO 1]:[PRAZO 6]])/COUNT(PEDIDOS[[#This Row],[PRAZO 1]:[PRAZO 6]]),"VERIFICAR")</f>
        <v>35</v>
      </c>
      <c r="D12" s="9">
        <f>PEDIDOS[[#This Row],[PM]]/7</f>
        <v>5</v>
      </c>
      <c r="E12" s="10">
        <f>IF(PEDIDOS[[#This Row],[NUM DE SEMANA]]=4,0,_xlfn.XLOOKUP(PEDIDOS[[#This Row],[NUM DE SEMANA]],'[1]SEMANAS DE PAGAMENTO'!A:A,'[1]SEMANAS DE PAGAMENTO'!B:B,"VERIFICAR",-1))</f>
        <v>-5.0000000000000001E-4</v>
      </c>
      <c r="F12" s="11">
        <f t="shared" si="2"/>
        <v>28</v>
      </c>
      <c r="G12" s="11">
        <f t="shared" si="0"/>
        <v>35</v>
      </c>
      <c r="H12" s="11">
        <f t="shared" si="0"/>
        <v>42</v>
      </c>
      <c r="I12" s="11" t="str">
        <f t="shared" si="0"/>
        <v/>
      </c>
      <c r="J12" s="11" t="str">
        <f t="shared" si="0"/>
        <v/>
      </c>
      <c r="K12" s="11" t="str">
        <f t="shared" si="1"/>
        <v/>
      </c>
      <c r="L12" s="12" t="s">
        <v>89</v>
      </c>
      <c r="M12" s="12" t="s">
        <v>59</v>
      </c>
      <c r="N12" s="12" t="s">
        <v>90</v>
      </c>
      <c r="O12" s="12" t="s">
        <v>85</v>
      </c>
      <c r="P12" s="12" t="s">
        <v>45</v>
      </c>
      <c r="Q12" s="12" t="s">
        <v>91</v>
      </c>
      <c r="R12" s="13">
        <v>2302.1431485057001</v>
      </c>
      <c r="S12" s="13">
        <v>8597.61</v>
      </c>
      <c r="T12" s="13">
        <v>0</v>
      </c>
      <c r="U12" s="13">
        <v>0</v>
      </c>
      <c r="V12" s="13">
        <v>0</v>
      </c>
      <c r="W12" s="13">
        <v>0</v>
      </c>
      <c r="X12" s="12">
        <v>9</v>
      </c>
      <c r="Y12" s="12" t="s">
        <v>92</v>
      </c>
      <c r="Z12" s="12" t="s">
        <v>48</v>
      </c>
      <c r="AA12" s="12" t="s">
        <v>93</v>
      </c>
      <c r="AB12" s="14" t="str">
        <f>MID(PEDIDOS[[#This Row],[Vencimento(s)]],1,10)</f>
        <v>19/02/2026</v>
      </c>
      <c r="AC12" s="14" t="str">
        <f>MID(PEDIDOS[[#This Row],[Vencimento(s)]],14,10)</f>
        <v>26/02/2026</v>
      </c>
      <c r="AD12" s="14" t="str">
        <f>MID(PEDIDOS[[#This Row],[Vencimento(s)]],27,10)</f>
        <v>05/03/2026</v>
      </c>
      <c r="AE12" s="12" t="str">
        <f>MID(PEDIDOS[[#This Row],[Vencimento(s)]],40,10)</f>
        <v/>
      </c>
      <c r="AF12" s="12" t="str">
        <f>MID(PEDIDOS[[#This Row],[Vencimento(s)]],53,10)</f>
        <v/>
      </c>
    </row>
    <row r="13" spans="1:32" x14ac:dyDescent="0.25">
      <c r="A13" s="8" t="str">
        <f>_xlfn.CONCAT("001/",PEDIDOS[[#This Row],[Nota Fiscal]])</f>
        <v>001/000023271</v>
      </c>
      <c r="B13" s="8" t="str">
        <f>_xlfn.XLOOKUP(PEDIDOS[[#This Row],[NFS]],'[1]MOVIMENTAÇÃO DE ESTOQUE'!AA:AA,'[1]MOVIMENTAÇÃO DE ESTOQUE'!A:A,"NÃO",0,1)</f>
        <v>061004004</v>
      </c>
      <c r="C13" s="9">
        <f>IFERROR(SUM(PEDIDOS[[#This Row],[PRAZO 1]:[PRAZO 6]])/COUNT(PEDIDOS[[#This Row],[PRAZO 1]:[PRAZO 6]]),"VERIFICAR")</f>
        <v>14</v>
      </c>
      <c r="D13" s="9">
        <f>PEDIDOS[[#This Row],[PM]]/7</f>
        <v>2</v>
      </c>
      <c r="E13" s="10">
        <f>IF(PEDIDOS[[#This Row],[NUM DE SEMANA]]=4,0,_xlfn.XLOOKUP(PEDIDOS[[#This Row],[NUM DE SEMANA]],'[1]SEMANAS DE PAGAMENTO'!A:A,'[1]SEMANAS DE PAGAMENTO'!B:B,"VERIFICAR",-1))</f>
        <v>1.5E-3</v>
      </c>
      <c r="F13" s="11">
        <f t="shared" si="2"/>
        <v>14</v>
      </c>
      <c r="G13" s="11" t="str">
        <f t="shared" si="0"/>
        <v/>
      </c>
      <c r="H13" s="11" t="str">
        <f t="shared" si="0"/>
        <v/>
      </c>
      <c r="I13" s="11" t="str">
        <f t="shared" si="0"/>
        <v/>
      </c>
      <c r="J13" s="11" t="str">
        <f t="shared" si="0"/>
        <v/>
      </c>
      <c r="K13" s="11" t="str">
        <f t="shared" si="1"/>
        <v/>
      </c>
      <c r="L13" s="12" t="s">
        <v>94</v>
      </c>
      <c r="M13" s="12" t="s">
        <v>35</v>
      </c>
      <c r="N13" s="12" t="s">
        <v>95</v>
      </c>
      <c r="O13" s="12" t="s">
        <v>53</v>
      </c>
      <c r="P13" s="12" t="s">
        <v>54</v>
      </c>
      <c r="Q13" s="12" t="s">
        <v>96</v>
      </c>
      <c r="R13" s="13">
        <v>33.788987854289999</v>
      </c>
      <c r="S13" s="13">
        <v>178.63</v>
      </c>
      <c r="T13" s="13">
        <v>0</v>
      </c>
      <c r="U13" s="13">
        <v>0</v>
      </c>
      <c r="V13" s="13">
        <v>0</v>
      </c>
      <c r="W13" s="13">
        <v>0</v>
      </c>
      <c r="X13" s="12">
        <v>0.9</v>
      </c>
      <c r="Y13" s="12" t="s">
        <v>97</v>
      </c>
      <c r="Z13" s="12" t="s">
        <v>48</v>
      </c>
      <c r="AA13" s="12" t="s">
        <v>98</v>
      </c>
      <c r="AB13" s="14" t="str">
        <f>MID(PEDIDOS[[#This Row],[Vencimento(s)]],1,10)</f>
        <v>10/02/2026</v>
      </c>
      <c r="AC13" s="14" t="str">
        <f>MID(PEDIDOS[[#This Row],[Vencimento(s)]],14,10)</f>
        <v/>
      </c>
      <c r="AD13" s="14" t="str">
        <f>MID(PEDIDOS[[#This Row],[Vencimento(s)]],27,10)</f>
        <v/>
      </c>
      <c r="AE13" s="12" t="str">
        <f>MID(PEDIDOS[[#This Row],[Vencimento(s)]],40,10)</f>
        <v/>
      </c>
      <c r="AF13" s="12" t="str">
        <f>MID(PEDIDOS[[#This Row],[Vencimento(s)]],53,10)</f>
        <v/>
      </c>
    </row>
    <row r="14" spans="1:32" x14ac:dyDescent="0.25">
      <c r="A14" s="8" t="str">
        <f>_xlfn.CONCAT("001/",PEDIDOS[[#This Row],[Nota Fiscal]])</f>
        <v>001/000023215</v>
      </c>
      <c r="B14" s="8" t="str">
        <f>_xlfn.XLOOKUP(PEDIDOS[[#This Row],[NFS]],'[1]MOVIMENTAÇÃO DE ESTOQUE'!AA:AA,'[1]MOVIMENTAÇÃO DE ESTOQUE'!A:A,"NÃO",0,1)</f>
        <v>083008001</v>
      </c>
      <c r="C14" s="9">
        <f>IFERROR(SUM(PEDIDOS[[#This Row],[PRAZO 1]:[PRAZO 6]])/COUNT(PEDIDOS[[#This Row],[PRAZO 1]:[PRAZO 6]]),"VERIFICAR")</f>
        <v>7</v>
      </c>
      <c r="D14" s="9">
        <f>PEDIDOS[[#This Row],[PM]]/7</f>
        <v>1</v>
      </c>
      <c r="E14" s="10">
        <f>IF(PEDIDOS[[#This Row],[NUM DE SEMANA]]=4,0,_xlfn.XLOOKUP(PEDIDOS[[#This Row],[NUM DE SEMANA]],'[1]SEMANAS DE PAGAMENTO'!A:A,'[1]SEMANAS DE PAGAMENTO'!B:B,"VERIFICAR",-1))</f>
        <v>2E-3</v>
      </c>
      <c r="F14" s="11">
        <f t="shared" si="2"/>
        <v>7</v>
      </c>
      <c r="G14" s="11" t="str">
        <f t="shared" si="0"/>
        <v/>
      </c>
      <c r="H14" s="11" t="str">
        <f t="shared" si="0"/>
        <v/>
      </c>
      <c r="I14" s="11" t="str">
        <f t="shared" si="0"/>
        <v/>
      </c>
      <c r="J14" s="11" t="str">
        <f t="shared" si="0"/>
        <v/>
      </c>
      <c r="K14" s="11" t="str">
        <f t="shared" si="1"/>
        <v/>
      </c>
      <c r="L14" s="12" t="s">
        <v>99</v>
      </c>
      <c r="M14" s="12" t="s">
        <v>59</v>
      </c>
      <c r="N14" s="12" t="s">
        <v>100</v>
      </c>
      <c r="O14" s="12" t="s">
        <v>85</v>
      </c>
      <c r="P14" s="12" t="s">
        <v>74</v>
      </c>
      <c r="Q14" s="12" t="s">
        <v>101</v>
      </c>
      <c r="R14" s="13">
        <v>400</v>
      </c>
      <c r="S14" s="13">
        <v>2608.25</v>
      </c>
      <c r="T14" s="13">
        <v>0</v>
      </c>
      <c r="U14" s="13">
        <v>0</v>
      </c>
      <c r="V14" s="13">
        <v>0</v>
      </c>
      <c r="W14" s="13">
        <v>0</v>
      </c>
      <c r="X14" s="12">
        <v>25</v>
      </c>
      <c r="Y14" s="12" t="s">
        <v>63</v>
      </c>
      <c r="Z14" s="12" t="s">
        <v>48</v>
      </c>
      <c r="AA14" s="12" t="s">
        <v>102</v>
      </c>
      <c r="AB14" s="14" t="str">
        <f>MID(PEDIDOS[[#This Row],[Vencimento(s)]],1,10)</f>
        <v>29/01/2026</v>
      </c>
      <c r="AC14" s="14" t="str">
        <f>MID(PEDIDOS[[#This Row],[Vencimento(s)]],14,10)</f>
        <v/>
      </c>
      <c r="AD14" s="14" t="str">
        <f>MID(PEDIDOS[[#This Row],[Vencimento(s)]],27,10)</f>
        <v/>
      </c>
      <c r="AE14" s="12" t="str">
        <f>MID(PEDIDOS[[#This Row],[Vencimento(s)]],40,10)</f>
        <v/>
      </c>
      <c r="AF14" s="12" t="str">
        <f>MID(PEDIDOS[[#This Row],[Vencimento(s)]],53,10)</f>
        <v/>
      </c>
    </row>
    <row r="15" spans="1:32" x14ac:dyDescent="0.25">
      <c r="A15" s="8" t="str">
        <f>_xlfn.CONCAT("001/",PEDIDOS[[#This Row],[Nota Fiscal]])</f>
        <v>001/000023216</v>
      </c>
      <c r="B15" s="8" t="str">
        <f>_xlfn.XLOOKUP(PEDIDOS[[#This Row],[NFS]],'[1]MOVIMENTAÇÃO DE ESTOQUE'!AA:AA,'[1]MOVIMENTAÇÃO DE ESTOQUE'!A:A,"NÃO",0,1)</f>
        <v>001004024</v>
      </c>
      <c r="C15" s="9">
        <f>IFERROR(SUM(PEDIDOS[[#This Row],[PRAZO 1]:[PRAZO 6]])/COUNT(PEDIDOS[[#This Row],[PRAZO 1]:[PRAZO 6]]),"VERIFICAR")</f>
        <v>35</v>
      </c>
      <c r="D15" s="9">
        <f>PEDIDOS[[#This Row],[PM]]/7</f>
        <v>5</v>
      </c>
      <c r="E15" s="10">
        <f>IF(PEDIDOS[[#This Row],[NUM DE SEMANA]]=4,0,_xlfn.XLOOKUP(PEDIDOS[[#This Row],[NUM DE SEMANA]],'[1]SEMANAS DE PAGAMENTO'!A:A,'[1]SEMANAS DE PAGAMENTO'!B:B,"VERIFICAR",-1))</f>
        <v>-5.0000000000000001E-4</v>
      </c>
      <c r="F15" s="11">
        <f t="shared" si="2"/>
        <v>28</v>
      </c>
      <c r="G15" s="11">
        <f t="shared" si="0"/>
        <v>35</v>
      </c>
      <c r="H15" s="11">
        <f t="shared" si="0"/>
        <v>42</v>
      </c>
      <c r="I15" s="11" t="str">
        <f t="shared" si="0"/>
        <v/>
      </c>
      <c r="J15" s="11" t="str">
        <f t="shared" si="0"/>
        <v/>
      </c>
      <c r="K15" s="11" t="str">
        <f t="shared" si="1"/>
        <v/>
      </c>
      <c r="L15" s="12" t="s">
        <v>103</v>
      </c>
      <c r="M15" s="12" t="s">
        <v>35</v>
      </c>
      <c r="N15" s="12" t="s">
        <v>104</v>
      </c>
      <c r="O15" s="12" t="s">
        <v>85</v>
      </c>
      <c r="P15" s="12" t="s">
        <v>61</v>
      </c>
      <c r="Q15" s="12" t="s">
        <v>105</v>
      </c>
      <c r="R15" s="13">
        <v>928.5171000345</v>
      </c>
      <c r="S15" s="13">
        <v>6405.49</v>
      </c>
      <c r="T15" s="13">
        <v>0</v>
      </c>
      <c r="U15" s="13">
        <v>0</v>
      </c>
      <c r="V15" s="13">
        <v>0</v>
      </c>
      <c r="W15" s="13">
        <v>0</v>
      </c>
      <c r="X15" s="12">
        <v>2</v>
      </c>
      <c r="Y15" s="12" t="s">
        <v>63</v>
      </c>
      <c r="Z15" s="12" t="s">
        <v>48</v>
      </c>
      <c r="AA15" s="12" t="s">
        <v>93</v>
      </c>
      <c r="AB15" s="14" t="str">
        <f>MID(PEDIDOS[[#This Row],[Vencimento(s)]],1,10)</f>
        <v>19/02/2026</v>
      </c>
      <c r="AC15" s="14" t="str">
        <f>MID(PEDIDOS[[#This Row],[Vencimento(s)]],14,10)</f>
        <v>26/02/2026</v>
      </c>
      <c r="AD15" s="14" t="str">
        <f>MID(PEDIDOS[[#This Row],[Vencimento(s)]],27,10)</f>
        <v>05/03/2026</v>
      </c>
      <c r="AE15" s="12" t="str">
        <f>MID(PEDIDOS[[#This Row],[Vencimento(s)]],40,10)</f>
        <v/>
      </c>
      <c r="AF15" s="12" t="str">
        <f>MID(PEDIDOS[[#This Row],[Vencimento(s)]],53,10)</f>
        <v/>
      </c>
    </row>
    <row r="16" spans="1:32" x14ac:dyDescent="0.25">
      <c r="A16" s="8" t="str">
        <f>_xlfn.CONCAT("001/",PEDIDOS[[#This Row],[Nota Fiscal]])</f>
        <v>001/000023241</v>
      </c>
      <c r="B16" s="8" t="str">
        <f>_xlfn.XLOOKUP(PEDIDOS[[#This Row],[NFS]],'[1]MOVIMENTAÇÃO DE ESTOQUE'!AA:AA,'[1]MOVIMENTAÇÃO DE ESTOQUE'!A:A,"NÃO",0,1)</f>
        <v>066004001</v>
      </c>
      <c r="C16" s="9">
        <f>IFERROR(SUM(PEDIDOS[[#This Row],[PRAZO 1]:[PRAZO 6]])/COUNT(PEDIDOS[[#This Row],[PRAZO 1]:[PRAZO 6]]),"VERIFICAR")</f>
        <v>31.5</v>
      </c>
      <c r="D16" s="9">
        <f>PEDIDOS[[#This Row],[PM]]/7</f>
        <v>4.5</v>
      </c>
      <c r="E16" s="10">
        <f>IF(PEDIDOS[[#This Row],[NUM DE SEMANA]]=4,0,_xlfn.XLOOKUP(PEDIDOS[[#This Row],[NUM DE SEMANA]],'[1]SEMANAS DE PAGAMENTO'!A:A,'[1]SEMANAS DE PAGAMENTO'!B:B,"VERIFICAR",-1))</f>
        <v>5.0000000000000001E-4</v>
      </c>
      <c r="F16" s="11">
        <f t="shared" si="2"/>
        <v>28</v>
      </c>
      <c r="G16" s="11">
        <f t="shared" si="0"/>
        <v>35</v>
      </c>
      <c r="H16" s="11" t="str">
        <f t="shared" si="0"/>
        <v/>
      </c>
      <c r="I16" s="11" t="str">
        <f t="shared" si="0"/>
        <v/>
      </c>
      <c r="J16" s="11" t="str">
        <f t="shared" si="0"/>
        <v/>
      </c>
      <c r="K16" s="11" t="str">
        <f t="shared" si="1"/>
        <v/>
      </c>
      <c r="L16" s="12" t="s">
        <v>106</v>
      </c>
      <c r="M16" s="12" t="s">
        <v>35</v>
      </c>
      <c r="N16" s="12" t="s">
        <v>107</v>
      </c>
      <c r="O16" s="12" t="s">
        <v>73</v>
      </c>
      <c r="P16" s="12" t="s">
        <v>38</v>
      </c>
      <c r="Q16" s="12" t="s">
        <v>39</v>
      </c>
      <c r="R16" s="13">
        <v>1601.9128767377999</v>
      </c>
      <c r="S16" s="13">
        <v>5370.27</v>
      </c>
      <c r="T16" s="13">
        <v>0</v>
      </c>
      <c r="U16" s="13">
        <v>0</v>
      </c>
      <c r="V16" s="13">
        <v>0</v>
      </c>
      <c r="W16" s="13">
        <v>0</v>
      </c>
      <c r="X16" s="12">
        <v>4</v>
      </c>
      <c r="Y16" s="12" t="s">
        <v>82</v>
      </c>
      <c r="Z16" s="12" t="s">
        <v>41</v>
      </c>
      <c r="AA16" s="12" t="s">
        <v>108</v>
      </c>
      <c r="AB16" s="14" t="str">
        <f>MID(PEDIDOS[[#This Row],[Vencimento(s)]],1,10)</f>
        <v>20/02/2026</v>
      </c>
      <c r="AC16" s="14" t="str">
        <f>MID(PEDIDOS[[#This Row],[Vencimento(s)]],14,10)</f>
        <v>27/02/2026</v>
      </c>
      <c r="AD16" s="14" t="str">
        <f>MID(PEDIDOS[[#This Row],[Vencimento(s)]],27,10)</f>
        <v/>
      </c>
      <c r="AE16" s="12" t="str">
        <f>MID(PEDIDOS[[#This Row],[Vencimento(s)]],40,10)</f>
        <v/>
      </c>
      <c r="AF16" s="12" t="str">
        <f>MID(PEDIDOS[[#This Row],[Vencimento(s)]],53,10)</f>
        <v/>
      </c>
    </row>
    <row r="17" spans="1:32" x14ac:dyDescent="0.25">
      <c r="A17" s="8" t="str">
        <f>_xlfn.CONCAT("001/",PEDIDOS[[#This Row],[Nota Fiscal]])</f>
        <v>001/000023253</v>
      </c>
      <c r="B17" s="8" t="str">
        <f>_xlfn.XLOOKUP(PEDIDOS[[#This Row],[NFS]],'[1]MOVIMENTAÇÃO DE ESTOQUE'!AA:AA,'[1]MOVIMENTAÇÃO DE ESTOQUE'!A:A,"NÃO",0,1)</f>
        <v>030004015</v>
      </c>
      <c r="C17" s="9">
        <f>IFERROR(SUM(PEDIDOS[[#This Row],[PRAZO 1]:[PRAZO 6]])/COUNT(PEDIDOS[[#This Row],[PRAZO 1]:[PRAZO 6]]),"VERIFICAR")</f>
        <v>0</v>
      </c>
      <c r="D17" s="9">
        <f>PEDIDOS[[#This Row],[PM]]/7</f>
        <v>0</v>
      </c>
      <c r="E17" s="10">
        <f>IF(PEDIDOS[[#This Row],[NUM DE SEMANA]]=4,0,_xlfn.XLOOKUP(PEDIDOS[[#This Row],[NUM DE SEMANA]],'[1]SEMANAS DE PAGAMENTO'!A:A,'[1]SEMANAS DE PAGAMENTO'!B:B,"VERIFICAR",-1))</f>
        <v>2E-3</v>
      </c>
      <c r="F17" s="11">
        <f t="shared" si="2"/>
        <v>0</v>
      </c>
      <c r="G17" s="11" t="str">
        <f t="shared" si="0"/>
        <v/>
      </c>
      <c r="H17" s="11" t="str">
        <f t="shared" si="0"/>
        <v/>
      </c>
      <c r="I17" s="11" t="str">
        <f t="shared" si="0"/>
        <v/>
      </c>
      <c r="J17" s="11" t="str">
        <f t="shared" si="0"/>
        <v/>
      </c>
      <c r="K17" s="11" t="str">
        <f t="shared" si="1"/>
        <v/>
      </c>
      <c r="L17" s="12" t="s">
        <v>109</v>
      </c>
      <c r="M17" s="12" t="s">
        <v>35</v>
      </c>
      <c r="N17" s="12" t="s">
        <v>110</v>
      </c>
      <c r="O17" s="12" t="s">
        <v>67</v>
      </c>
      <c r="P17" s="12" t="s">
        <v>111</v>
      </c>
      <c r="Q17" s="12" t="s">
        <v>112</v>
      </c>
      <c r="R17" s="13">
        <v>299.48576655199997</v>
      </c>
      <c r="S17" s="13">
        <v>1222</v>
      </c>
      <c r="T17" s="13">
        <v>0</v>
      </c>
      <c r="U17" s="13">
        <v>0</v>
      </c>
      <c r="V17" s="13">
        <v>0</v>
      </c>
      <c r="W17" s="13">
        <v>0</v>
      </c>
      <c r="X17" s="12">
        <v>10</v>
      </c>
      <c r="Y17" s="12" t="s">
        <v>63</v>
      </c>
      <c r="Z17" s="12" t="s">
        <v>41</v>
      </c>
      <c r="AA17" s="12" t="s">
        <v>67</v>
      </c>
      <c r="AB17" s="14" t="str">
        <f>MID(PEDIDOS[[#This Row],[Vencimento(s)]],1,10)</f>
        <v>26/01/2026</v>
      </c>
      <c r="AC17" s="14" t="str">
        <f>MID(PEDIDOS[[#This Row],[Vencimento(s)]],14,10)</f>
        <v/>
      </c>
      <c r="AD17" s="14" t="str">
        <f>MID(PEDIDOS[[#This Row],[Vencimento(s)]],27,10)</f>
        <v/>
      </c>
      <c r="AE17" s="12" t="str">
        <f>MID(PEDIDOS[[#This Row],[Vencimento(s)]],40,10)</f>
        <v/>
      </c>
      <c r="AF17" s="12" t="str">
        <f>MID(PEDIDOS[[#This Row],[Vencimento(s)]],53,10)</f>
        <v/>
      </c>
    </row>
    <row r="18" spans="1:32" x14ac:dyDescent="0.25">
      <c r="A18" s="8" t="str">
        <f>_xlfn.CONCAT("001/",PEDIDOS[[#This Row],[Nota Fiscal]])</f>
        <v>001/000023227</v>
      </c>
      <c r="B18" s="8" t="str">
        <f>_xlfn.XLOOKUP(PEDIDOS[[#This Row],[NFS]],'[1]MOVIMENTAÇÃO DE ESTOQUE'!AA:AA,'[1]MOVIMENTAÇÃO DE ESTOQUE'!A:A,"NÃO",0,1)</f>
        <v>067004019</v>
      </c>
      <c r="C18" s="9">
        <f>IFERROR(SUM(PEDIDOS[[#This Row],[PRAZO 1]:[PRAZO 6]])/COUNT(PEDIDOS[[#This Row],[PRAZO 1]:[PRAZO 6]]),"VERIFICAR")</f>
        <v>31.5</v>
      </c>
      <c r="D18" s="9">
        <f>PEDIDOS[[#This Row],[PM]]/7</f>
        <v>4.5</v>
      </c>
      <c r="E18" s="10">
        <f>IF(PEDIDOS[[#This Row],[NUM DE SEMANA]]=4,0,_xlfn.XLOOKUP(PEDIDOS[[#This Row],[NUM DE SEMANA]],'[1]SEMANAS DE PAGAMENTO'!A:A,'[1]SEMANAS DE PAGAMENTO'!B:B,"VERIFICAR",-1))</f>
        <v>5.0000000000000001E-4</v>
      </c>
      <c r="F18" s="11">
        <f t="shared" si="2"/>
        <v>21</v>
      </c>
      <c r="G18" s="11">
        <f t="shared" si="0"/>
        <v>28</v>
      </c>
      <c r="H18" s="11">
        <f t="shared" si="0"/>
        <v>35</v>
      </c>
      <c r="I18" s="11">
        <f t="shared" si="0"/>
        <v>42</v>
      </c>
      <c r="J18" s="11" t="str">
        <f t="shared" si="0"/>
        <v/>
      </c>
      <c r="K18" s="11" t="str">
        <f t="shared" si="1"/>
        <v/>
      </c>
      <c r="L18" s="12" t="s">
        <v>113</v>
      </c>
      <c r="M18" s="12" t="s">
        <v>35</v>
      </c>
      <c r="N18" s="12" t="s">
        <v>114</v>
      </c>
      <c r="O18" s="12" t="s">
        <v>85</v>
      </c>
      <c r="P18" s="12" t="s">
        <v>54</v>
      </c>
      <c r="Q18" s="12" t="s">
        <v>115</v>
      </c>
      <c r="R18" s="13">
        <v>7795.0211579375564</v>
      </c>
      <c r="S18" s="13">
        <v>17070.32</v>
      </c>
      <c r="T18" s="13">
        <v>0</v>
      </c>
      <c r="U18" s="13">
        <v>0</v>
      </c>
      <c r="V18" s="13">
        <v>0</v>
      </c>
      <c r="W18" s="13">
        <v>0</v>
      </c>
      <c r="X18" s="12">
        <v>4.0199999999999996</v>
      </c>
      <c r="Y18" s="12" t="s">
        <v>63</v>
      </c>
      <c r="Z18" s="12" t="s">
        <v>48</v>
      </c>
      <c r="AA18" s="12" t="s">
        <v>116</v>
      </c>
      <c r="AB18" s="14" t="str">
        <f>MID(PEDIDOS[[#This Row],[Vencimento(s)]],1,10)</f>
        <v>12/02/2026</v>
      </c>
      <c r="AC18" s="14" t="str">
        <f>MID(PEDIDOS[[#This Row],[Vencimento(s)]],14,10)</f>
        <v>19/02/2026</v>
      </c>
      <c r="AD18" s="14" t="str">
        <f>MID(PEDIDOS[[#This Row],[Vencimento(s)]],27,10)</f>
        <v>26/02/2026</v>
      </c>
      <c r="AE18" s="12" t="str">
        <f>MID(PEDIDOS[[#This Row],[Vencimento(s)]],40,10)</f>
        <v>05/03/2026</v>
      </c>
      <c r="AF18" s="12" t="str">
        <f>MID(PEDIDOS[[#This Row],[Vencimento(s)]],53,10)</f>
        <v/>
      </c>
    </row>
    <row r="19" spans="1:32" x14ac:dyDescent="0.25">
      <c r="A19" s="8" t="str">
        <f>_xlfn.CONCAT("001/",PEDIDOS[[#This Row],[Nota Fiscal]])</f>
        <v>001/000023179</v>
      </c>
      <c r="B19" s="8" t="str">
        <f>_xlfn.XLOOKUP(PEDIDOS[[#This Row],[NFS]],'[1]MOVIMENTAÇÃO DE ESTOQUE'!AA:AA,'[1]MOVIMENTAÇÃO DE ESTOQUE'!A:A,"NÃO",0,1)</f>
        <v>067004006</v>
      </c>
      <c r="C19" s="9">
        <f>IFERROR(SUM(PEDIDOS[[#This Row],[PRAZO 1]:[PRAZO 6]])/COUNT(PEDIDOS[[#This Row],[PRAZO 1]:[PRAZO 6]]),"VERIFICAR")</f>
        <v>35</v>
      </c>
      <c r="D19" s="9">
        <f>PEDIDOS[[#This Row],[PM]]/7</f>
        <v>5</v>
      </c>
      <c r="E19" s="10">
        <f>IF(PEDIDOS[[#This Row],[NUM DE SEMANA]]=4,0,_xlfn.XLOOKUP(PEDIDOS[[#This Row],[NUM DE SEMANA]],'[1]SEMANAS DE PAGAMENTO'!A:A,'[1]SEMANAS DE PAGAMENTO'!B:B,"VERIFICAR",-1))</f>
        <v>-5.0000000000000001E-4</v>
      </c>
      <c r="F19" s="11">
        <f t="shared" si="2"/>
        <v>35</v>
      </c>
      <c r="G19" s="11" t="str">
        <f t="shared" ref="G19:J82" si="3">IF(AC19&lt;&gt;"",AC19-$O19,"")</f>
        <v/>
      </c>
      <c r="H19" s="11" t="str">
        <f t="shared" si="3"/>
        <v/>
      </c>
      <c r="I19" s="11" t="str">
        <f t="shared" si="3"/>
        <v/>
      </c>
      <c r="J19" s="11" t="str">
        <f t="shared" si="3"/>
        <v/>
      </c>
      <c r="K19" s="11" t="str">
        <f t="shared" si="1"/>
        <v/>
      </c>
      <c r="L19" s="12" t="s">
        <v>117</v>
      </c>
      <c r="M19" s="12" t="s">
        <v>59</v>
      </c>
      <c r="N19" s="12" t="s">
        <v>118</v>
      </c>
      <c r="O19" s="12" t="s">
        <v>119</v>
      </c>
      <c r="P19" s="12" t="s">
        <v>54</v>
      </c>
      <c r="Q19" s="12" t="s">
        <v>120</v>
      </c>
      <c r="R19" s="13">
        <v>1059.4122170866999</v>
      </c>
      <c r="S19" s="13">
        <v>4479.1099999999997</v>
      </c>
      <c r="T19" s="13">
        <v>0</v>
      </c>
      <c r="U19" s="13">
        <v>0</v>
      </c>
      <c r="V19" s="13">
        <v>0</v>
      </c>
      <c r="W19" s="13">
        <v>0</v>
      </c>
      <c r="X19" s="12">
        <v>2</v>
      </c>
      <c r="Y19" s="12" t="s">
        <v>63</v>
      </c>
      <c r="Z19" s="12" t="s">
        <v>48</v>
      </c>
      <c r="AA19" s="12" t="s">
        <v>121</v>
      </c>
      <c r="AB19" s="14" t="str">
        <f>MID(PEDIDOS[[#This Row],[Vencimento(s)]],1,10)</f>
        <v>24/02/2026</v>
      </c>
      <c r="AC19" s="14" t="str">
        <f>MID(PEDIDOS[[#This Row],[Vencimento(s)]],14,10)</f>
        <v/>
      </c>
      <c r="AD19" s="14" t="str">
        <f>MID(PEDIDOS[[#This Row],[Vencimento(s)]],27,10)</f>
        <v/>
      </c>
      <c r="AE19" s="12" t="str">
        <f>MID(PEDIDOS[[#This Row],[Vencimento(s)]],40,10)</f>
        <v/>
      </c>
      <c r="AF19" s="12" t="str">
        <f>MID(PEDIDOS[[#This Row],[Vencimento(s)]],53,10)</f>
        <v/>
      </c>
    </row>
    <row r="20" spans="1:32" x14ac:dyDescent="0.25">
      <c r="A20" s="8" t="str">
        <f>_xlfn.CONCAT("001/",PEDIDOS[[#This Row],[Nota Fiscal]])</f>
        <v>001/000023184</v>
      </c>
      <c r="B20" s="8" t="str">
        <f>_xlfn.XLOOKUP(PEDIDOS[[#This Row],[NFS]],'[1]MOVIMENTAÇÃO DE ESTOQUE'!AA:AA,'[1]MOVIMENTAÇÃO DE ESTOQUE'!A:A,"NÃO",0,1)</f>
        <v>001004024</v>
      </c>
      <c r="C20" s="9">
        <f>IFERROR(SUM(PEDIDOS[[#This Row],[PRAZO 1]:[PRAZO 6]])/COUNT(PEDIDOS[[#This Row],[PRAZO 1]:[PRAZO 6]]),"VERIFICAR")</f>
        <v>31.5</v>
      </c>
      <c r="D20" s="9">
        <f>PEDIDOS[[#This Row],[PM]]/7</f>
        <v>4.5</v>
      </c>
      <c r="E20" s="10">
        <f>IF(PEDIDOS[[#This Row],[NUM DE SEMANA]]=4,0,_xlfn.XLOOKUP(PEDIDOS[[#This Row],[NUM DE SEMANA]],'[1]SEMANAS DE PAGAMENTO'!A:A,'[1]SEMANAS DE PAGAMENTO'!B:B,"VERIFICAR",-1))</f>
        <v>5.0000000000000001E-4</v>
      </c>
      <c r="F20" s="11">
        <f t="shared" si="2"/>
        <v>28</v>
      </c>
      <c r="G20" s="11">
        <f t="shared" si="3"/>
        <v>35</v>
      </c>
      <c r="H20" s="11" t="str">
        <f t="shared" si="3"/>
        <v/>
      </c>
      <c r="I20" s="11" t="str">
        <f t="shared" si="3"/>
        <v/>
      </c>
      <c r="J20" s="11" t="str">
        <f t="shared" si="3"/>
        <v/>
      </c>
      <c r="K20" s="11" t="str">
        <f t="shared" si="1"/>
        <v/>
      </c>
      <c r="L20" s="12" t="s">
        <v>122</v>
      </c>
      <c r="M20" s="12" t="s">
        <v>35</v>
      </c>
      <c r="N20" s="12" t="s">
        <v>123</v>
      </c>
      <c r="O20" s="12" t="s">
        <v>119</v>
      </c>
      <c r="P20" s="12" t="s">
        <v>38</v>
      </c>
      <c r="Q20" s="12" t="s">
        <v>39</v>
      </c>
      <c r="R20" s="13">
        <v>703.27560003450003</v>
      </c>
      <c r="S20" s="13">
        <v>2093.2199999999998</v>
      </c>
      <c r="T20" s="13">
        <v>0</v>
      </c>
      <c r="U20" s="13">
        <v>0</v>
      </c>
      <c r="V20" s="13">
        <v>0</v>
      </c>
      <c r="W20" s="13">
        <v>0</v>
      </c>
      <c r="X20" s="12">
        <v>1</v>
      </c>
      <c r="Y20" s="12" t="s">
        <v>124</v>
      </c>
      <c r="Z20" s="12" t="s">
        <v>41</v>
      </c>
      <c r="AA20" s="12" t="s">
        <v>125</v>
      </c>
      <c r="AB20" s="14" t="str">
        <f>MID(PEDIDOS[[#This Row],[Vencimento(s)]],1,10)</f>
        <v>17/02/2026</v>
      </c>
      <c r="AC20" s="14" t="str">
        <f>MID(PEDIDOS[[#This Row],[Vencimento(s)]],14,10)</f>
        <v>24/02/2026</v>
      </c>
      <c r="AD20" s="14" t="str">
        <f>MID(PEDIDOS[[#This Row],[Vencimento(s)]],27,10)</f>
        <v/>
      </c>
      <c r="AE20" s="12" t="str">
        <f>MID(PEDIDOS[[#This Row],[Vencimento(s)]],40,10)</f>
        <v/>
      </c>
      <c r="AF20" s="12" t="str">
        <f>MID(PEDIDOS[[#This Row],[Vencimento(s)]],53,10)</f>
        <v/>
      </c>
    </row>
    <row r="21" spans="1:32" x14ac:dyDescent="0.25">
      <c r="A21" s="8" t="str">
        <f>_xlfn.CONCAT("001/",PEDIDOS[[#This Row],[Nota Fiscal]])</f>
        <v>001/000023183</v>
      </c>
      <c r="B21" s="8" t="str">
        <f>_xlfn.XLOOKUP(PEDIDOS[[#This Row],[NFS]],'[1]MOVIMENTAÇÃO DE ESTOQUE'!AA:AA,'[1]MOVIMENTAÇÃO DE ESTOQUE'!A:A,"NÃO",0,1)</f>
        <v>001004006</v>
      </c>
      <c r="C21" s="9">
        <f>IFERROR(SUM(PEDIDOS[[#This Row],[PRAZO 1]:[PRAZO 6]])/COUNT(PEDIDOS[[#This Row],[PRAZO 1]:[PRAZO 6]]),"VERIFICAR")</f>
        <v>31.5</v>
      </c>
      <c r="D21" s="9">
        <f>PEDIDOS[[#This Row],[PM]]/7</f>
        <v>4.5</v>
      </c>
      <c r="E21" s="10">
        <f>IF(PEDIDOS[[#This Row],[NUM DE SEMANA]]=4,0,_xlfn.XLOOKUP(PEDIDOS[[#This Row],[NUM DE SEMANA]],'[1]SEMANAS DE PAGAMENTO'!A:A,'[1]SEMANAS DE PAGAMENTO'!B:B,"VERIFICAR",-1))</f>
        <v>5.0000000000000001E-4</v>
      </c>
      <c r="F21" s="11">
        <f t="shared" si="2"/>
        <v>28</v>
      </c>
      <c r="G21" s="11">
        <f t="shared" si="3"/>
        <v>35</v>
      </c>
      <c r="H21" s="11" t="str">
        <f t="shared" si="3"/>
        <v/>
      </c>
      <c r="I21" s="11" t="str">
        <f t="shared" si="3"/>
        <v/>
      </c>
      <c r="J21" s="11" t="str">
        <f t="shared" si="3"/>
        <v/>
      </c>
      <c r="K21" s="11" t="str">
        <f t="shared" si="1"/>
        <v/>
      </c>
      <c r="L21" s="12" t="s">
        <v>126</v>
      </c>
      <c r="M21" s="12" t="s">
        <v>35</v>
      </c>
      <c r="N21" s="12" t="s">
        <v>127</v>
      </c>
      <c r="O21" s="12" t="s">
        <v>119</v>
      </c>
      <c r="P21" s="12" t="s">
        <v>38</v>
      </c>
      <c r="Q21" s="12" t="s">
        <v>39</v>
      </c>
      <c r="R21" s="13">
        <v>1197.8493253587999</v>
      </c>
      <c r="S21" s="13">
        <v>4551.97</v>
      </c>
      <c r="T21" s="13">
        <v>0</v>
      </c>
      <c r="U21" s="13">
        <v>0</v>
      </c>
      <c r="V21" s="13">
        <v>0</v>
      </c>
      <c r="W21" s="13">
        <v>0</v>
      </c>
      <c r="X21" s="12">
        <v>1</v>
      </c>
      <c r="Y21" s="12" t="s">
        <v>124</v>
      </c>
      <c r="Z21" s="12" t="s">
        <v>41</v>
      </c>
      <c r="AA21" s="12" t="s">
        <v>125</v>
      </c>
      <c r="AB21" s="14" t="str">
        <f>MID(PEDIDOS[[#This Row],[Vencimento(s)]],1,10)</f>
        <v>17/02/2026</v>
      </c>
      <c r="AC21" s="14" t="str">
        <f>MID(PEDIDOS[[#This Row],[Vencimento(s)]],14,10)</f>
        <v>24/02/2026</v>
      </c>
      <c r="AD21" s="14" t="str">
        <f>MID(PEDIDOS[[#This Row],[Vencimento(s)]],27,10)</f>
        <v/>
      </c>
      <c r="AE21" s="12" t="str">
        <f>MID(PEDIDOS[[#This Row],[Vencimento(s)]],40,10)</f>
        <v/>
      </c>
      <c r="AF21" s="12" t="str">
        <f>MID(PEDIDOS[[#This Row],[Vencimento(s)]],53,10)</f>
        <v/>
      </c>
    </row>
    <row r="22" spans="1:32" x14ac:dyDescent="0.25">
      <c r="A22" s="8" t="str">
        <f>_xlfn.CONCAT("001/",PEDIDOS[[#This Row],[Nota Fiscal]])</f>
        <v>001/000023182</v>
      </c>
      <c r="B22" s="8" t="str">
        <f>_xlfn.XLOOKUP(PEDIDOS[[#This Row],[NFS]],'[1]MOVIMENTAÇÃO DE ESTOQUE'!AA:AA,'[1]MOVIMENTAÇÃO DE ESTOQUE'!A:A,"NÃO",0,1)</f>
        <v>001004120</v>
      </c>
      <c r="C22" s="9">
        <f>IFERROR(SUM(PEDIDOS[[#This Row],[PRAZO 1]:[PRAZO 6]])/COUNT(PEDIDOS[[#This Row],[PRAZO 1]:[PRAZO 6]]),"VERIFICAR")</f>
        <v>31.5</v>
      </c>
      <c r="D22" s="9">
        <f>PEDIDOS[[#This Row],[PM]]/7</f>
        <v>4.5</v>
      </c>
      <c r="E22" s="10">
        <f>IF(PEDIDOS[[#This Row],[NUM DE SEMANA]]=4,0,_xlfn.XLOOKUP(PEDIDOS[[#This Row],[NUM DE SEMANA]],'[1]SEMANAS DE PAGAMENTO'!A:A,'[1]SEMANAS DE PAGAMENTO'!B:B,"VERIFICAR",-1))</f>
        <v>5.0000000000000001E-4</v>
      </c>
      <c r="F22" s="11">
        <f t="shared" si="2"/>
        <v>28</v>
      </c>
      <c r="G22" s="11">
        <f t="shared" si="3"/>
        <v>35</v>
      </c>
      <c r="H22" s="11" t="str">
        <f t="shared" si="3"/>
        <v/>
      </c>
      <c r="I22" s="11" t="str">
        <f t="shared" si="3"/>
        <v/>
      </c>
      <c r="J22" s="11" t="str">
        <f t="shared" si="3"/>
        <v/>
      </c>
      <c r="K22" s="11" t="str">
        <f t="shared" si="1"/>
        <v/>
      </c>
      <c r="L22" s="12" t="s">
        <v>128</v>
      </c>
      <c r="M22" s="12" t="s">
        <v>35</v>
      </c>
      <c r="N22" s="12" t="s">
        <v>129</v>
      </c>
      <c r="O22" s="12" t="s">
        <v>119</v>
      </c>
      <c r="P22" s="12" t="s">
        <v>38</v>
      </c>
      <c r="Q22" s="12" t="s">
        <v>39</v>
      </c>
      <c r="R22" s="13">
        <v>1352.5911829999</v>
      </c>
      <c r="S22" s="13">
        <v>4744.59</v>
      </c>
      <c r="T22" s="13">
        <v>0</v>
      </c>
      <c r="U22" s="13">
        <v>0</v>
      </c>
      <c r="V22" s="13">
        <v>0</v>
      </c>
      <c r="W22" s="13">
        <v>0</v>
      </c>
      <c r="X22" s="12">
        <v>1</v>
      </c>
      <c r="Y22" s="12" t="s">
        <v>124</v>
      </c>
      <c r="Z22" s="12" t="s">
        <v>41</v>
      </c>
      <c r="AA22" s="12" t="s">
        <v>125</v>
      </c>
      <c r="AB22" s="14" t="str">
        <f>MID(PEDIDOS[[#This Row],[Vencimento(s)]],1,10)</f>
        <v>17/02/2026</v>
      </c>
      <c r="AC22" s="14" t="str">
        <f>MID(PEDIDOS[[#This Row],[Vencimento(s)]],14,10)</f>
        <v>24/02/2026</v>
      </c>
      <c r="AD22" s="14" t="str">
        <f>MID(PEDIDOS[[#This Row],[Vencimento(s)]],27,10)</f>
        <v/>
      </c>
      <c r="AE22" s="12" t="str">
        <f>MID(PEDIDOS[[#This Row],[Vencimento(s)]],40,10)</f>
        <v/>
      </c>
      <c r="AF22" s="12" t="str">
        <f>MID(PEDIDOS[[#This Row],[Vencimento(s)]],53,10)</f>
        <v/>
      </c>
    </row>
    <row r="23" spans="1:32" x14ac:dyDescent="0.25">
      <c r="A23" s="8" t="str">
        <f>_xlfn.CONCAT("001/",PEDIDOS[[#This Row],[Nota Fiscal]])</f>
        <v>001/000023308</v>
      </c>
      <c r="B23" s="8" t="str">
        <f>_xlfn.XLOOKUP(PEDIDOS[[#This Row],[NFS]],'[1]MOVIMENTAÇÃO DE ESTOQUE'!AA:AA,'[1]MOVIMENTAÇÃO DE ESTOQUE'!A:A,"NÃO",0,1)</f>
        <v>002004121</v>
      </c>
      <c r="C23" s="9">
        <f>IFERROR(SUM(PEDIDOS[[#This Row],[PRAZO 1]:[PRAZO 6]])/COUNT(PEDIDOS[[#This Row],[PRAZO 1]:[PRAZO 6]]),"VERIFICAR")</f>
        <v>38.5</v>
      </c>
      <c r="D23" s="9">
        <f>PEDIDOS[[#This Row],[PM]]/7</f>
        <v>5.5</v>
      </c>
      <c r="E23" s="10">
        <f>IF(PEDIDOS[[#This Row],[NUM DE SEMANA]]=4,0,_xlfn.XLOOKUP(PEDIDOS[[#This Row],[NUM DE SEMANA]],'[1]SEMANAS DE PAGAMENTO'!A:A,'[1]SEMANAS DE PAGAMENTO'!B:B,"VERIFICAR",-1))</f>
        <v>-5.0000000000000001E-4</v>
      </c>
      <c r="F23" s="11">
        <f t="shared" si="2"/>
        <v>28</v>
      </c>
      <c r="G23" s="11">
        <f t="shared" si="3"/>
        <v>35</v>
      </c>
      <c r="H23" s="11">
        <f t="shared" si="3"/>
        <v>42</v>
      </c>
      <c r="I23" s="11">
        <f t="shared" si="3"/>
        <v>49</v>
      </c>
      <c r="J23" s="11" t="str">
        <f t="shared" si="3"/>
        <v/>
      </c>
      <c r="K23" s="11" t="str">
        <f t="shared" si="1"/>
        <v/>
      </c>
      <c r="L23" s="12" t="s">
        <v>130</v>
      </c>
      <c r="M23" s="12" t="s">
        <v>35</v>
      </c>
      <c r="N23" s="12" t="s">
        <v>131</v>
      </c>
      <c r="O23" s="12" t="s">
        <v>37</v>
      </c>
      <c r="P23" s="12" t="s">
        <v>38</v>
      </c>
      <c r="Q23" s="12" t="s">
        <v>39</v>
      </c>
      <c r="R23" s="13">
        <v>1264.0016666667</v>
      </c>
      <c r="S23" s="13">
        <v>3707.58</v>
      </c>
      <c r="T23" s="13">
        <v>0</v>
      </c>
      <c r="U23" s="13">
        <v>0</v>
      </c>
      <c r="V23" s="13">
        <v>0</v>
      </c>
      <c r="W23" s="13">
        <v>0</v>
      </c>
      <c r="X23" s="12">
        <v>1</v>
      </c>
      <c r="Y23" s="12" t="s">
        <v>124</v>
      </c>
      <c r="Z23" s="12" t="s">
        <v>41</v>
      </c>
      <c r="AA23" s="12" t="s">
        <v>42</v>
      </c>
      <c r="AB23" s="14" t="str">
        <f>MID(PEDIDOS[[#This Row],[Vencimento(s)]],1,10)</f>
        <v>27/02/2026</v>
      </c>
      <c r="AC23" s="14" t="str">
        <f>MID(PEDIDOS[[#This Row],[Vencimento(s)]],14,10)</f>
        <v>06/03/2026</v>
      </c>
      <c r="AD23" s="14" t="str">
        <f>MID(PEDIDOS[[#This Row],[Vencimento(s)]],27,10)</f>
        <v>13/03/2026</v>
      </c>
      <c r="AE23" s="12" t="str">
        <f>MID(PEDIDOS[[#This Row],[Vencimento(s)]],40,10)</f>
        <v>20/03/2026</v>
      </c>
      <c r="AF23" s="12" t="str">
        <f>MID(PEDIDOS[[#This Row],[Vencimento(s)]],53,10)</f>
        <v/>
      </c>
    </row>
    <row r="24" spans="1:32" x14ac:dyDescent="0.25">
      <c r="A24" s="8" t="str">
        <f>_xlfn.CONCAT("001/",PEDIDOS[[#This Row],[Nota Fiscal]])</f>
        <v>001/000023234</v>
      </c>
      <c r="B24" s="8" t="str">
        <f>_xlfn.XLOOKUP(PEDIDOS[[#This Row],[NFS]],'[1]MOVIMENTAÇÃO DE ESTOQUE'!AA:AA,'[1]MOVIMENTAÇÃO DE ESTOQUE'!A:A,"NÃO",0,1)</f>
        <v>063004003</v>
      </c>
      <c r="C24" s="9">
        <f>IFERROR(SUM(PEDIDOS[[#This Row],[PRAZO 1]:[PRAZO 6]])/COUNT(PEDIDOS[[#This Row],[PRAZO 1]:[PRAZO 6]]),"VERIFICAR")</f>
        <v>35</v>
      </c>
      <c r="D24" s="9">
        <f>PEDIDOS[[#This Row],[PM]]/7</f>
        <v>5</v>
      </c>
      <c r="E24" s="10">
        <f>IF(PEDIDOS[[#This Row],[NUM DE SEMANA]]=4,0,_xlfn.XLOOKUP(PEDIDOS[[#This Row],[NUM DE SEMANA]],'[1]SEMANAS DE PAGAMENTO'!A:A,'[1]SEMANAS DE PAGAMENTO'!B:B,"VERIFICAR",-1))</f>
        <v>-5.0000000000000001E-4</v>
      </c>
      <c r="F24" s="11">
        <f t="shared" si="2"/>
        <v>28</v>
      </c>
      <c r="G24" s="11">
        <f t="shared" si="3"/>
        <v>35</v>
      </c>
      <c r="H24" s="11">
        <f t="shared" si="3"/>
        <v>42</v>
      </c>
      <c r="I24" s="11" t="str">
        <f t="shared" si="3"/>
        <v/>
      </c>
      <c r="J24" s="11" t="str">
        <f t="shared" si="3"/>
        <v/>
      </c>
      <c r="K24" s="11" t="str">
        <f t="shared" si="1"/>
        <v/>
      </c>
      <c r="L24" s="12" t="s">
        <v>132</v>
      </c>
      <c r="M24" s="12" t="s">
        <v>59</v>
      </c>
      <c r="N24" s="12" t="s">
        <v>133</v>
      </c>
      <c r="O24" s="12" t="s">
        <v>73</v>
      </c>
      <c r="P24" s="12" t="s">
        <v>74</v>
      </c>
      <c r="Q24" s="12" t="s">
        <v>134</v>
      </c>
      <c r="R24" s="13">
        <v>225.2415</v>
      </c>
      <c r="S24" s="13">
        <v>4938.22</v>
      </c>
      <c r="T24" s="13">
        <v>0</v>
      </c>
      <c r="U24" s="13">
        <v>0</v>
      </c>
      <c r="V24" s="13">
        <v>0</v>
      </c>
      <c r="W24" s="13">
        <v>0</v>
      </c>
      <c r="X24" s="12">
        <v>1</v>
      </c>
      <c r="Y24" s="12" t="s">
        <v>135</v>
      </c>
      <c r="Z24" s="12" t="s">
        <v>48</v>
      </c>
      <c r="AA24" s="12" t="s">
        <v>136</v>
      </c>
      <c r="AB24" s="14" t="str">
        <f>MID(PEDIDOS[[#This Row],[Vencimento(s)]],1,10)</f>
        <v>20/02/2026</v>
      </c>
      <c r="AC24" s="14" t="str">
        <f>MID(PEDIDOS[[#This Row],[Vencimento(s)]],14,10)</f>
        <v>27/02/2026</v>
      </c>
      <c r="AD24" s="14" t="str">
        <f>MID(PEDIDOS[[#This Row],[Vencimento(s)]],27,10)</f>
        <v>06/03/2026</v>
      </c>
      <c r="AE24" s="12" t="str">
        <f>MID(PEDIDOS[[#This Row],[Vencimento(s)]],40,10)</f>
        <v/>
      </c>
      <c r="AF24" s="12" t="str">
        <f>MID(PEDIDOS[[#This Row],[Vencimento(s)]],53,10)</f>
        <v/>
      </c>
    </row>
    <row r="25" spans="1:32" x14ac:dyDescent="0.25">
      <c r="A25" s="8" t="str">
        <f>_xlfn.CONCAT("001/",PEDIDOS[[#This Row],[Nota Fiscal]])</f>
        <v>001/000023287</v>
      </c>
      <c r="B25" s="8" t="str">
        <f>_xlfn.XLOOKUP(PEDIDOS[[#This Row],[NFS]],'[1]MOVIMENTAÇÃO DE ESTOQUE'!AA:AA,'[1]MOVIMENTAÇÃO DE ESTOQUE'!A:A,"NÃO",0,1)</f>
        <v>007002009</v>
      </c>
      <c r="C25" s="9">
        <f>IFERROR(SUM(PEDIDOS[[#This Row],[PRAZO 1]:[PRAZO 6]])/COUNT(PEDIDOS[[#This Row],[PRAZO 1]:[PRAZO 6]]),"VERIFICAR")</f>
        <v>21</v>
      </c>
      <c r="D25" s="9">
        <f>PEDIDOS[[#This Row],[PM]]/7</f>
        <v>3</v>
      </c>
      <c r="E25" s="10">
        <f>IF(PEDIDOS[[#This Row],[NUM DE SEMANA]]=4,0,_xlfn.XLOOKUP(PEDIDOS[[#This Row],[NUM DE SEMANA]],'[1]SEMANAS DE PAGAMENTO'!A:A,'[1]SEMANAS DE PAGAMENTO'!B:B,"VERIFICAR",-1))</f>
        <v>1E-3</v>
      </c>
      <c r="F25" s="11">
        <f t="shared" si="2"/>
        <v>21</v>
      </c>
      <c r="G25" s="11" t="str">
        <f t="shared" si="3"/>
        <v/>
      </c>
      <c r="H25" s="11" t="str">
        <f t="shared" si="3"/>
        <v/>
      </c>
      <c r="I25" s="11" t="str">
        <f t="shared" si="3"/>
        <v/>
      </c>
      <c r="J25" s="11" t="str">
        <f t="shared" si="3"/>
        <v/>
      </c>
      <c r="K25" s="11" t="str">
        <f t="shared" si="1"/>
        <v/>
      </c>
      <c r="L25" s="12" t="s">
        <v>137</v>
      </c>
      <c r="M25" s="12" t="s">
        <v>59</v>
      </c>
      <c r="N25" s="12" t="s">
        <v>138</v>
      </c>
      <c r="O25" s="12" t="s">
        <v>139</v>
      </c>
      <c r="P25" s="12" t="s">
        <v>45</v>
      </c>
      <c r="Q25" s="12" t="s">
        <v>140</v>
      </c>
      <c r="R25" s="13">
        <v>1154.77441638</v>
      </c>
      <c r="S25" s="13">
        <v>3395</v>
      </c>
      <c r="T25" s="13">
        <v>0</v>
      </c>
      <c r="U25" s="13">
        <v>0</v>
      </c>
      <c r="V25" s="13">
        <v>0</v>
      </c>
      <c r="W25" s="13">
        <v>0</v>
      </c>
      <c r="X25" s="12">
        <v>45</v>
      </c>
      <c r="Y25" s="12" t="s">
        <v>141</v>
      </c>
      <c r="Z25" s="12" t="s">
        <v>48</v>
      </c>
      <c r="AA25" s="12" t="s">
        <v>142</v>
      </c>
      <c r="AB25" s="14" t="str">
        <f>MID(PEDIDOS[[#This Row],[Vencimento(s)]],1,10)</f>
        <v>18/02/2026</v>
      </c>
      <c r="AC25" s="14" t="str">
        <f>MID(PEDIDOS[[#This Row],[Vencimento(s)]],14,10)</f>
        <v/>
      </c>
      <c r="AD25" s="14" t="str">
        <f>MID(PEDIDOS[[#This Row],[Vencimento(s)]],27,10)</f>
        <v/>
      </c>
      <c r="AE25" s="12" t="str">
        <f>MID(PEDIDOS[[#This Row],[Vencimento(s)]],40,10)</f>
        <v/>
      </c>
      <c r="AF25" s="12" t="str">
        <f>MID(PEDIDOS[[#This Row],[Vencimento(s)]],53,10)</f>
        <v/>
      </c>
    </row>
    <row r="26" spans="1:32" x14ac:dyDescent="0.25">
      <c r="A26" s="8" t="str">
        <f>_xlfn.CONCAT("001/",PEDIDOS[[#This Row],[Nota Fiscal]])</f>
        <v>001/000023181</v>
      </c>
      <c r="B26" s="8" t="str">
        <f>_xlfn.XLOOKUP(PEDIDOS[[#This Row],[NFS]],'[1]MOVIMENTAÇÃO DE ESTOQUE'!AA:AA,'[1]MOVIMENTAÇÃO DE ESTOQUE'!A:A,"NÃO",0,1)</f>
        <v>067004001</v>
      </c>
      <c r="C26" s="9">
        <f>IFERROR(SUM(PEDIDOS[[#This Row],[PRAZO 1]:[PRAZO 6]])/COUNT(PEDIDOS[[#This Row],[PRAZO 1]:[PRAZO 6]]),"VERIFICAR")</f>
        <v>24.5</v>
      </c>
      <c r="D26" s="9">
        <f>PEDIDOS[[#This Row],[PM]]/7</f>
        <v>3.5</v>
      </c>
      <c r="E26" s="10">
        <f>IF(PEDIDOS[[#This Row],[NUM DE SEMANA]]=4,0,_xlfn.XLOOKUP(PEDIDOS[[#This Row],[NUM DE SEMANA]],'[1]SEMANAS DE PAGAMENTO'!A:A,'[1]SEMANAS DE PAGAMENTO'!B:B,"VERIFICAR",-1))</f>
        <v>1E-3</v>
      </c>
      <c r="F26" s="11">
        <f t="shared" si="2"/>
        <v>21</v>
      </c>
      <c r="G26" s="11">
        <f t="shared" si="3"/>
        <v>28</v>
      </c>
      <c r="H26" s="11" t="str">
        <f t="shared" si="3"/>
        <v/>
      </c>
      <c r="I26" s="11" t="str">
        <f t="shared" si="3"/>
        <v/>
      </c>
      <c r="J26" s="11" t="str">
        <f t="shared" si="3"/>
        <v/>
      </c>
      <c r="K26" s="11" t="str">
        <f t="shared" si="1"/>
        <v/>
      </c>
      <c r="L26" s="12" t="s">
        <v>143</v>
      </c>
      <c r="M26" s="12" t="s">
        <v>35</v>
      </c>
      <c r="N26" s="12" t="s">
        <v>144</v>
      </c>
      <c r="O26" s="12" t="s">
        <v>119</v>
      </c>
      <c r="P26" s="12" t="s">
        <v>111</v>
      </c>
      <c r="Q26" s="12" t="s">
        <v>145</v>
      </c>
      <c r="R26" s="13">
        <v>7034.7500266197003</v>
      </c>
      <c r="S26" s="13">
        <v>16684.43</v>
      </c>
      <c r="T26" s="13">
        <v>0</v>
      </c>
      <c r="U26" s="13">
        <v>0</v>
      </c>
      <c r="V26" s="13">
        <v>0</v>
      </c>
      <c r="W26" s="13">
        <v>0</v>
      </c>
      <c r="X26" s="12">
        <v>7</v>
      </c>
      <c r="Y26" s="12" t="s">
        <v>63</v>
      </c>
      <c r="Z26" s="12" t="s">
        <v>48</v>
      </c>
      <c r="AA26" s="12" t="s">
        <v>146</v>
      </c>
      <c r="AB26" s="14" t="str">
        <f>MID(PEDIDOS[[#This Row],[Vencimento(s)]],1,10)</f>
        <v>10/02/2026</v>
      </c>
      <c r="AC26" s="14" t="str">
        <f>MID(PEDIDOS[[#This Row],[Vencimento(s)]],14,10)</f>
        <v>17/02/2026</v>
      </c>
      <c r="AD26" s="14" t="str">
        <f>MID(PEDIDOS[[#This Row],[Vencimento(s)]],27,10)</f>
        <v/>
      </c>
      <c r="AE26" s="12" t="str">
        <f>MID(PEDIDOS[[#This Row],[Vencimento(s)]],40,10)</f>
        <v/>
      </c>
      <c r="AF26" s="12" t="str">
        <f>MID(PEDIDOS[[#This Row],[Vencimento(s)]],53,10)</f>
        <v/>
      </c>
    </row>
    <row r="27" spans="1:32" x14ac:dyDescent="0.25">
      <c r="A27" s="8" t="str">
        <f>_xlfn.CONCAT("001/",PEDIDOS[[#This Row],[Nota Fiscal]])</f>
        <v>001/000023154</v>
      </c>
      <c r="B27" s="8" t="str">
        <f>_xlfn.XLOOKUP(PEDIDOS[[#This Row],[NFS]],'[1]MOVIMENTAÇÃO DE ESTOQUE'!AA:AA,'[1]MOVIMENTAÇÃO DE ESTOQUE'!A:A,"NÃO",0,1)</f>
        <v>030004003</v>
      </c>
      <c r="C27" s="9">
        <f>IFERROR(SUM(PEDIDOS[[#This Row],[PRAZO 1]:[PRAZO 6]])/COUNT(PEDIDOS[[#This Row],[PRAZO 1]:[PRAZO 6]]),"VERIFICAR")</f>
        <v>28</v>
      </c>
      <c r="D27" s="9">
        <f>PEDIDOS[[#This Row],[PM]]/7</f>
        <v>4</v>
      </c>
      <c r="E27" s="10">
        <f>IF(PEDIDOS[[#This Row],[NUM DE SEMANA]]=4,0,_xlfn.XLOOKUP(PEDIDOS[[#This Row],[NUM DE SEMANA]],'[1]SEMANAS DE PAGAMENTO'!A:A,'[1]SEMANAS DE PAGAMENTO'!B:B,"VERIFICAR",-1))</f>
        <v>0</v>
      </c>
      <c r="F27" s="11">
        <f t="shared" si="2"/>
        <v>28</v>
      </c>
      <c r="G27" s="11" t="str">
        <f t="shared" si="3"/>
        <v/>
      </c>
      <c r="H27" s="11" t="str">
        <f t="shared" si="3"/>
        <v/>
      </c>
      <c r="I27" s="11" t="str">
        <f t="shared" si="3"/>
        <v/>
      </c>
      <c r="J27" s="11" t="str">
        <f t="shared" si="3"/>
        <v/>
      </c>
      <c r="K27" s="11" t="str">
        <f t="shared" si="1"/>
        <v/>
      </c>
      <c r="L27" s="12" t="s">
        <v>147</v>
      </c>
      <c r="M27" s="12" t="s">
        <v>59</v>
      </c>
      <c r="N27" s="12" t="s">
        <v>148</v>
      </c>
      <c r="O27" s="12" t="s">
        <v>149</v>
      </c>
      <c r="P27" s="12" t="s">
        <v>61</v>
      </c>
      <c r="Q27" s="12" t="s">
        <v>68</v>
      </c>
      <c r="R27" s="13">
        <v>1558.3163802043</v>
      </c>
      <c r="S27" s="13">
        <v>3131.9</v>
      </c>
      <c r="T27" s="13">
        <v>0</v>
      </c>
      <c r="U27" s="13">
        <v>0</v>
      </c>
      <c r="V27" s="13">
        <v>0</v>
      </c>
      <c r="W27" s="13">
        <v>0</v>
      </c>
      <c r="X27" s="12">
        <v>7</v>
      </c>
      <c r="Y27" s="12" t="s">
        <v>150</v>
      </c>
      <c r="Z27" s="12" t="s">
        <v>48</v>
      </c>
      <c r="AA27" s="12" t="s">
        <v>151</v>
      </c>
      <c r="AB27" s="14" t="str">
        <f>MID(PEDIDOS[[#This Row],[Vencimento(s)]],1,10)</f>
        <v>16/02/2026</v>
      </c>
      <c r="AC27" s="14" t="str">
        <f>MID(PEDIDOS[[#This Row],[Vencimento(s)]],14,10)</f>
        <v/>
      </c>
      <c r="AD27" s="14" t="str">
        <f>MID(PEDIDOS[[#This Row],[Vencimento(s)]],27,10)</f>
        <v/>
      </c>
      <c r="AE27" s="12" t="str">
        <f>MID(PEDIDOS[[#This Row],[Vencimento(s)]],40,10)</f>
        <v/>
      </c>
      <c r="AF27" s="12" t="str">
        <f>MID(PEDIDOS[[#This Row],[Vencimento(s)]],53,10)</f>
        <v/>
      </c>
    </row>
    <row r="28" spans="1:32" x14ac:dyDescent="0.25">
      <c r="A28" s="8" t="str">
        <f>_xlfn.CONCAT("001/",PEDIDOS[[#This Row],[Nota Fiscal]])</f>
        <v>001/000023180</v>
      </c>
      <c r="B28" s="8" t="str">
        <f>_xlfn.XLOOKUP(PEDIDOS[[#This Row],[NFS]],'[1]MOVIMENTAÇÃO DE ESTOQUE'!AA:AA,'[1]MOVIMENTAÇÃO DE ESTOQUE'!A:A,"NÃO",0,1)</f>
        <v>008014055</v>
      </c>
      <c r="C28" s="9">
        <f>IFERROR(SUM(PEDIDOS[[#This Row],[PRAZO 1]:[PRAZO 6]])/COUNT(PEDIDOS[[#This Row],[PRAZO 1]:[PRAZO 6]]),"VERIFICAR")</f>
        <v>28</v>
      </c>
      <c r="D28" s="9">
        <f>PEDIDOS[[#This Row],[PM]]/7</f>
        <v>4</v>
      </c>
      <c r="E28" s="10">
        <f>IF(PEDIDOS[[#This Row],[NUM DE SEMANA]]=4,0,_xlfn.XLOOKUP(PEDIDOS[[#This Row],[NUM DE SEMANA]],'[1]SEMANAS DE PAGAMENTO'!A:A,'[1]SEMANAS DE PAGAMENTO'!B:B,"VERIFICAR",-1))</f>
        <v>0</v>
      </c>
      <c r="F28" s="11">
        <f t="shared" si="2"/>
        <v>28</v>
      </c>
      <c r="G28" s="11" t="str">
        <f t="shared" si="3"/>
        <v/>
      </c>
      <c r="H28" s="11" t="str">
        <f t="shared" si="3"/>
        <v/>
      </c>
      <c r="I28" s="11" t="str">
        <f t="shared" si="3"/>
        <v/>
      </c>
      <c r="J28" s="11" t="str">
        <f t="shared" si="3"/>
        <v/>
      </c>
      <c r="K28" s="11" t="str">
        <f t="shared" si="1"/>
        <v/>
      </c>
      <c r="L28" s="12" t="s">
        <v>152</v>
      </c>
      <c r="M28" s="12" t="s">
        <v>35</v>
      </c>
      <c r="N28" s="12" t="s">
        <v>153</v>
      </c>
      <c r="O28" s="12" t="s">
        <v>119</v>
      </c>
      <c r="P28" s="12" t="s">
        <v>54</v>
      </c>
      <c r="Q28" s="12" t="s">
        <v>154</v>
      </c>
      <c r="R28" s="13">
        <v>11662.792217976399</v>
      </c>
      <c r="S28" s="13">
        <v>27756.3</v>
      </c>
      <c r="T28" s="13">
        <v>0</v>
      </c>
      <c r="U28" s="13">
        <v>0</v>
      </c>
      <c r="V28" s="13">
        <v>0</v>
      </c>
      <c r="W28" s="13">
        <v>0</v>
      </c>
      <c r="X28" s="12">
        <v>22</v>
      </c>
      <c r="Y28" s="12" t="s">
        <v>155</v>
      </c>
      <c r="Z28" s="12" t="s">
        <v>48</v>
      </c>
      <c r="AA28" s="12" t="s">
        <v>156</v>
      </c>
      <c r="AB28" s="14" t="str">
        <f>MID(PEDIDOS[[#This Row],[Vencimento(s)]],1,10)</f>
        <v>17/02/2026</v>
      </c>
      <c r="AC28" s="14" t="str">
        <f>MID(PEDIDOS[[#This Row],[Vencimento(s)]],14,10)</f>
        <v/>
      </c>
      <c r="AD28" s="14" t="str">
        <f>MID(PEDIDOS[[#This Row],[Vencimento(s)]],27,10)</f>
        <v/>
      </c>
      <c r="AE28" s="12" t="str">
        <f>MID(PEDIDOS[[#This Row],[Vencimento(s)]],40,10)</f>
        <v/>
      </c>
      <c r="AF28" s="12" t="str">
        <f>MID(PEDIDOS[[#This Row],[Vencimento(s)]],53,10)</f>
        <v/>
      </c>
    </row>
    <row r="29" spans="1:32" x14ac:dyDescent="0.25">
      <c r="A29" s="8" t="str">
        <f>_xlfn.CONCAT("001/",PEDIDOS[[#This Row],[Nota Fiscal]])</f>
        <v>001/000023177</v>
      </c>
      <c r="B29" s="8" t="str">
        <f>_xlfn.XLOOKUP(PEDIDOS[[#This Row],[NFS]],'[1]MOVIMENTAÇÃO DE ESTOQUE'!AA:AA,'[1]MOVIMENTAÇÃO DE ESTOQUE'!A:A,"NÃO",0,1)</f>
        <v>061004003</v>
      </c>
      <c r="C29" s="9">
        <f>IFERROR(SUM(PEDIDOS[[#This Row],[PRAZO 1]:[PRAZO 6]])/COUNT(PEDIDOS[[#This Row],[PRAZO 1]:[PRAZO 6]]),"VERIFICAR")</f>
        <v>38.5</v>
      </c>
      <c r="D29" s="9">
        <f>PEDIDOS[[#This Row],[PM]]/7</f>
        <v>5.5</v>
      </c>
      <c r="E29" s="10">
        <f>IF(PEDIDOS[[#This Row],[NUM DE SEMANA]]=4,0,_xlfn.XLOOKUP(PEDIDOS[[#This Row],[NUM DE SEMANA]],'[1]SEMANAS DE PAGAMENTO'!A:A,'[1]SEMANAS DE PAGAMENTO'!B:B,"VERIFICAR",-1))</f>
        <v>-5.0000000000000001E-4</v>
      </c>
      <c r="F29" s="11">
        <f t="shared" si="2"/>
        <v>28</v>
      </c>
      <c r="G29" s="11">
        <f t="shared" si="3"/>
        <v>35</v>
      </c>
      <c r="H29" s="11">
        <f t="shared" si="3"/>
        <v>42</v>
      </c>
      <c r="I29" s="11">
        <f t="shared" si="3"/>
        <v>49</v>
      </c>
      <c r="J29" s="11" t="str">
        <f t="shared" si="3"/>
        <v/>
      </c>
      <c r="K29" s="11" t="str">
        <f t="shared" si="1"/>
        <v/>
      </c>
      <c r="L29" s="12" t="s">
        <v>157</v>
      </c>
      <c r="M29" s="12" t="s">
        <v>59</v>
      </c>
      <c r="N29" s="12" t="s">
        <v>158</v>
      </c>
      <c r="O29" s="12" t="s">
        <v>119</v>
      </c>
      <c r="P29" s="12" t="s">
        <v>74</v>
      </c>
      <c r="Q29" s="12" t="s">
        <v>159</v>
      </c>
      <c r="R29" s="13">
        <v>910.67556862749996</v>
      </c>
      <c r="S29" s="13">
        <v>2946.73</v>
      </c>
      <c r="T29" s="13">
        <v>0</v>
      </c>
      <c r="U29" s="13">
        <v>0</v>
      </c>
      <c r="V29" s="13">
        <v>0</v>
      </c>
      <c r="W29" s="13">
        <v>0</v>
      </c>
      <c r="X29" s="12">
        <v>1</v>
      </c>
      <c r="Y29" s="12" t="s">
        <v>160</v>
      </c>
      <c r="Z29" s="12" t="s">
        <v>48</v>
      </c>
      <c r="AA29" s="12" t="s">
        <v>161</v>
      </c>
      <c r="AB29" s="14" t="str">
        <f>MID(PEDIDOS[[#This Row],[Vencimento(s)]],1,10)</f>
        <v>17/02/2026</v>
      </c>
      <c r="AC29" s="14" t="str">
        <f>MID(PEDIDOS[[#This Row],[Vencimento(s)]],14,10)</f>
        <v>24/02/2026</v>
      </c>
      <c r="AD29" s="14" t="str">
        <f>MID(PEDIDOS[[#This Row],[Vencimento(s)]],27,10)</f>
        <v>03/03/2026</v>
      </c>
      <c r="AE29" s="12" t="str">
        <f>MID(PEDIDOS[[#This Row],[Vencimento(s)]],40,10)</f>
        <v>10/03/2026</v>
      </c>
      <c r="AF29" s="12" t="str">
        <f>MID(PEDIDOS[[#This Row],[Vencimento(s)]],53,10)</f>
        <v/>
      </c>
    </row>
    <row r="30" spans="1:32" x14ac:dyDescent="0.25">
      <c r="A30" s="8" t="str">
        <f>_xlfn.CONCAT("001/",PEDIDOS[[#This Row],[Nota Fiscal]])</f>
        <v>001/000023185</v>
      </c>
      <c r="B30" s="8" t="str">
        <f>_xlfn.XLOOKUP(PEDIDOS[[#This Row],[NFS]],'[1]MOVIMENTAÇÃO DE ESTOQUE'!AA:AA,'[1]MOVIMENTAÇÃO DE ESTOQUE'!A:A,"NÃO",0,1)</f>
        <v>005005001</v>
      </c>
      <c r="C30" s="9">
        <f>IFERROR(SUM(PEDIDOS[[#This Row],[PRAZO 1]:[PRAZO 6]])/COUNT(PEDIDOS[[#This Row],[PRAZO 1]:[PRAZO 6]]),"VERIFICAR")</f>
        <v>0</v>
      </c>
      <c r="D30" s="9">
        <f>PEDIDOS[[#This Row],[PM]]/7</f>
        <v>0</v>
      </c>
      <c r="E30" s="10">
        <f>IF(PEDIDOS[[#This Row],[NUM DE SEMANA]]=4,0,_xlfn.XLOOKUP(PEDIDOS[[#This Row],[NUM DE SEMANA]],'[1]SEMANAS DE PAGAMENTO'!A:A,'[1]SEMANAS DE PAGAMENTO'!B:B,"VERIFICAR",-1))</f>
        <v>2E-3</v>
      </c>
      <c r="F30" s="11">
        <f t="shared" si="2"/>
        <v>0</v>
      </c>
      <c r="G30" s="11" t="str">
        <f t="shared" si="3"/>
        <v/>
      </c>
      <c r="H30" s="11" t="str">
        <f t="shared" si="3"/>
        <v/>
      </c>
      <c r="I30" s="11" t="str">
        <f t="shared" si="3"/>
        <v/>
      </c>
      <c r="J30" s="11" t="str">
        <f t="shared" si="3"/>
        <v/>
      </c>
      <c r="K30" s="11" t="str">
        <f t="shared" si="1"/>
        <v/>
      </c>
      <c r="L30" s="12" t="s">
        <v>162</v>
      </c>
      <c r="M30" s="12" t="s">
        <v>59</v>
      </c>
      <c r="N30" s="12" t="s">
        <v>163</v>
      </c>
      <c r="O30" s="12" t="s">
        <v>119</v>
      </c>
      <c r="P30" s="12" t="s">
        <v>74</v>
      </c>
      <c r="Q30" s="12" t="s">
        <v>164</v>
      </c>
      <c r="R30" s="13">
        <v>132.48099999999999</v>
      </c>
      <c r="S30" s="13">
        <v>401.15</v>
      </c>
      <c r="T30" s="13">
        <v>0</v>
      </c>
      <c r="U30" s="13">
        <v>0</v>
      </c>
      <c r="V30" s="13">
        <v>0</v>
      </c>
      <c r="W30" s="13">
        <v>0</v>
      </c>
      <c r="X30" s="12">
        <v>5</v>
      </c>
      <c r="Y30" s="12" t="s">
        <v>63</v>
      </c>
      <c r="Z30" s="12" t="s">
        <v>41</v>
      </c>
      <c r="AA30" s="12" t="s">
        <v>119</v>
      </c>
      <c r="AB30" s="14" t="str">
        <f>MID(PEDIDOS[[#This Row],[Vencimento(s)]],1,10)</f>
        <v>20/01/2026</v>
      </c>
      <c r="AC30" s="14" t="str">
        <f>MID(PEDIDOS[[#This Row],[Vencimento(s)]],14,10)</f>
        <v/>
      </c>
      <c r="AD30" s="14" t="str">
        <f>MID(PEDIDOS[[#This Row],[Vencimento(s)]],27,10)</f>
        <v/>
      </c>
      <c r="AE30" s="12" t="str">
        <f>MID(PEDIDOS[[#This Row],[Vencimento(s)]],40,10)</f>
        <v/>
      </c>
      <c r="AF30" s="12" t="str">
        <f>MID(PEDIDOS[[#This Row],[Vencimento(s)]],53,10)</f>
        <v/>
      </c>
    </row>
    <row r="31" spans="1:32" x14ac:dyDescent="0.25">
      <c r="A31" s="8" t="str">
        <f>_xlfn.CONCAT("001/",PEDIDOS[[#This Row],[Nota Fiscal]])</f>
        <v>001/000023204</v>
      </c>
      <c r="B31" s="8" t="str">
        <f>_xlfn.XLOOKUP(PEDIDOS[[#This Row],[NFS]],'[1]MOVIMENTAÇÃO DE ESTOQUE'!AA:AA,'[1]MOVIMENTAÇÃO DE ESTOQUE'!A:A,"NÃO",0,1)</f>
        <v>063004003</v>
      </c>
      <c r="C31" s="9">
        <f>IFERROR(SUM(PEDIDOS[[#This Row],[PRAZO 1]:[PRAZO 6]])/COUNT(PEDIDOS[[#This Row],[PRAZO 1]:[PRAZO 6]]),"VERIFICAR")</f>
        <v>28</v>
      </c>
      <c r="D31" s="9">
        <f>PEDIDOS[[#This Row],[PM]]/7</f>
        <v>4</v>
      </c>
      <c r="E31" s="10">
        <f>IF(PEDIDOS[[#This Row],[NUM DE SEMANA]]=4,0,_xlfn.XLOOKUP(PEDIDOS[[#This Row],[NUM DE SEMANA]],'[1]SEMANAS DE PAGAMENTO'!A:A,'[1]SEMANAS DE PAGAMENTO'!B:B,"VERIFICAR",-1))</f>
        <v>0</v>
      </c>
      <c r="F31" s="11">
        <f t="shared" si="2"/>
        <v>14</v>
      </c>
      <c r="G31" s="11">
        <f t="shared" si="3"/>
        <v>21</v>
      </c>
      <c r="H31" s="11">
        <f t="shared" si="3"/>
        <v>28</v>
      </c>
      <c r="I31" s="11">
        <f t="shared" si="3"/>
        <v>35</v>
      </c>
      <c r="J31" s="11">
        <f t="shared" si="3"/>
        <v>42</v>
      </c>
      <c r="K31" s="11" t="str">
        <f t="shared" si="1"/>
        <v/>
      </c>
      <c r="L31" s="12" t="s">
        <v>165</v>
      </c>
      <c r="M31" s="12" t="s">
        <v>166</v>
      </c>
      <c r="N31" s="12" t="s">
        <v>167</v>
      </c>
      <c r="O31" s="12" t="s">
        <v>168</v>
      </c>
      <c r="P31" s="12" t="s">
        <v>54</v>
      </c>
      <c r="Q31" s="12" t="s">
        <v>169</v>
      </c>
      <c r="R31" s="13">
        <v>1726.83292229327</v>
      </c>
      <c r="S31" s="13">
        <v>7788.88</v>
      </c>
      <c r="T31" s="13">
        <v>0</v>
      </c>
      <c r="U31" s="13">
        <v>0</v>
      </c>
      <c r="V31" s="13">
        <v>0</v>
      </c>
      <c r="W31" s="13">
        <v>0</v>
      </c>
      <c r="X31" s="12">
        <v>23.7</v>
      </c>
      <c r="Y31" s="12" t="s">
        <v>170</v>
      </c>
      <c r="Z31" s="12" t="s">
        <v>48</v>
      </c>
      <c r="AA31" s="12" t="s">
        <v>171</v>
      </c>
      <c r="AB31" s="14" t="str">
        <f>MID(PEDIDOS[[#This Row],[Vencimento(s)]],1,10)</f>
        <v>04/02/2026</v>
      </c>
      <c r="AC31" s="14" t="str">
        <f>MID(PEDIDOS[[#This Row],[Vencimento(s)]],14,10)</f>
        <v>11/02/2026</v>
      </c>
      <c r="AD31" s="14" t="str">
        <f>MID(PEDIDOS[[#This Row],[Vencimento(s)]],27,10)</f>
        <v>18/02/2026</v>
      </c>
      <c r="AE31" s="12" t="str">
        <f>MID(PEDIDOS[[#This Row],[Vencimento(s)]],40,10)</f>
        <v>25/02/2026</v>
      </c>
      <c r="AF31" s="12" t="str">
        <f>MID(PEDIDOS[[#This Row],[Vencimento(s)]],53,10)</f>
        <v>04/03/2026</v>
      </c>
    </row>
    <row r="32" spans="1:32" x14ac:dyDescent="0.25">
      <c r="A32" s="8" t="str">
        <f>_xlfn.CONCAT("001/",PEDIDOS[[#This Row],[Nota Fiscal]])</f>
        <v>001/000023128</v>
      </c>
      <c r="B32" s="8" t="str">
        <f>_xlfn.XLOOKUP(PEDIDOS[[#This Row],[NFS]],'[1]MOVIMENTAÇÃO DE ESTOQUE'!AA:AA,'[1]MOVIMENTAÇÃO DE ESTOQUE'!A:A,"NÃO",0,1)</f>
        <v>030004006</v>
      </c>
      <c r="C32" s="9">
        <f>IFERROR(SUM(PEDIDOS[[#This Row],[PRAZO 1]:[PRAZO 6]])/COUNT(PEDIDOS[[#This Row],[PRAZO 1]:[PRAZO 6]]),"VERIFICAR")</f>
        <v>150</v>
      </c>
      <c r="D32" s="9">
        <f>PEDIDOS[[#This Row],[PM]]/7</f>
        <v>21.428571428571427</v>
      </c>
      <c r="E32" s="10">
        <f>IF(PEDIDOS[[#This Row],[NUM DE SEMANA]]=4,0,_xlfn.XLOOKUP(PEDIDOS[[#This Row],[NUM DE SEMANA]],'[1]SEMANAS DE PAGAMENTO'!A:A,'[1]SEMANAS DE PAGAMENTO'!B:B,"VERIFICAR",-1))</f>
        <v>-4.5000000000000005E-3</v>
      </c>
      <c r="F32" s="11">
        <f t="shared" si="2"/>
        <v>150</v>
      </c>
      <c r="G32" s="11" t="str">
        <f t="shared" si="3"/>
        <v/>
      </c>
      <c r="H32" s="11" t="str">
        <f t="shared" si="3"/>
        <v/>
      </c>
      <c r="I32" s="11" t="str">
        <f t="shared" si="3"/>
        <v/>
      </c>
      <c r="J32" s="11" t="str">
        <f t="shared" si="3"/>
        <v/>
      </c>
      <c r="K32" s="11" t="str">
        <f t="shared" si="1"/>
        <v/>
      </c>
      <c r="L32" s="12" t="s">
        <v>172</v>
      </c>
      <c r="M32" s="12" t="s">
        <v>35</v>
      </c>
      <c r="N32" s="12" t="s">
        <v>173</v>
      </c>
      <c r="O32" s="12" t="s">
        <v>174</v>
      </c>
      <c r="P32" s="12" t="s">
        <v>38</v>
      </c>
      <c r="Q32" s="12" t="s">
        <v>175</v>
      </c>
      <c r="R32" s="13">
        <v>4532.9494312692004</v>
      </c>
      <c r="S32" s="13">
        <v>14257.11</v>
      </c>
      <c r="T32" s="13">
        <v>0</v>
      </c>
      <c r="U32" s="13">
        <v>0</v>
      </c>
      <c r="V32" s="13">
        <v>0</v>
      </c>
      <c r="W32" s="13">
        <v>0</v>
      </c>
      <c r="X32" s="12">
        <v>27</v>
      </c>
      <c r="Y32" s="12" t="s">
        <v>176</v>
      </c>
      <c r="Z32" s="12" t="s">
        <v>177</v>
      </c>
      <c r="AA32" s="12" t="s">
        <v>178</v>
      </c>
      <c r="AB32" s="14" t="str">
        <f>MID(PEDIDOS[[#This Row],[Vencimento(s)]],1,10)</f>
        <v>15/06/2026</v>
      </c>
      <c r="AC32" s="14" t="str">
        <f>MID(PEDIDOS[[#This Row],[Vencimento(s)]],14,10)</f>
        <v/>
      </c>
      <c r="AD32" s="14" t="str">
        <f>MID(PEDIDOS[[#This Row],[Vencimento(s)]],27,10)</f>
        <v/>
      </c>
      <c r="AE32" s="12" t="str">
        <f>MID(PEDIDOS[[#This Row],[Vencimento(s)]],40,10)</f>
        <v/>
      </c>
      <c r="AF32" s="12" t="str">
        <f>MID(PEDIDOS[[#This Row],[Vencimento(s)]],53,10)</f>
        <v/>
      </c>
    </row>
    <row r="33" spans="1:32" x14ac:dyDescent="0.25">
      <c r="A33" s="8" t="str">
        <f>_xlfn.CONCAT("001/",PEDIDOS[[#This Row],[Nota Fiscal]])</f>
        <v>001/000023225</v>
      </c>
      <c r="B33" s="8" t="str">
        <f>_xlfn.XLOOKUP(PEDIDOS[[#This Row],[NFS]],'[1]MOVIMENTAÇÃO DE ESTOQUE'!AA:AA,'[1]MOVIMENTAÇÃO DE ESTOQUE'!A:A,"NÃO",0,1)</f>
        <v>063004003</v>
      </c>
      <c r="C33" s="9">
        <f>IFERROR(SUM(PEDIDOS[[#This Row],[PRAZO 1]:[PRAZO 6]])/COUNT(PEDIDOS[[#This Row],[PRAZO 1]:[PRAZO 6]]),"VERIFICAR")</f>
        <v>21</v>
      </c>
      <c r="D33" s="9">
        <f>PEDIDOS[[#This Row],[PM]]/7</f>
        <v>3</v>
      </c>
      <c r="E33" s="10">
        <f>IF(PEDIDOS[[#This Row],[NUM DE SEMANA]]=4,0,_xlfn.XLOOKUP(PEDIDOS[[#This Row],[NUM DE SEMANA]],'[1]SEMANAS DE PAGAMENTO'!A:A,'[1]SEMANAS DE PAGAMENTO'!B:B,"VERIFICAR",-1))</f>
        <v>1E-3</v>
      </c>
      <c r="F33" s="11">
        <f t="shared" si="2"/>
        <v>14</v>
      </c>
      <c r="G33" s="11">
        <f t="shared" si="3"/>
        <v>21</v>
      </c>
      <c r="H33" s="11">
        <f t="shared" si="3"/>
        <v>28</v>
      </c>
      <c r="I33" s="11" t="str">
        <f t="shared" si="3"/>
        <v/>
      </c>
      <c r="J33" s="11" t="str">
        <f t="shared" si="3"/>
        <v/>
      </c>
      <c r="K33" s="11" t="str">
        <f t="shared" si="1"/>
        <v/>
      </c>
      <c r="L33" s="12" t="s">
        <v>179</v>
      </c>
      <c r="M33" s="12" t="s">
        <v>166</v>
      </c>
      <c r="N33" s="12" t="s">
        <v>180</v>
      </c>
      <c r="O33" s="12" t="s">
        <v>85</v>
      </c>
      <c r="P33" s="12" t="s">
        <v>61</v>
      </c>
      <c r="Q33" s="12" t="s">
        <v>181</v>
      </c>
      <c r="R33" s="13">
        <v>225.2415</v>
      </c>
      <c r="S33" s="13">
        <v>5282.04</v>
      </c>
      <c r="T33" s="13">
        <v>0</v>
      </c>
      <c r="U33" s="13">
        <v>0</v>
      </c>
      <c r="V33" s="13">
        <v>0</v>
      </c>
      <c r="W33" s="13">
        <v>0</v>
      </c>
      <c r="X33" s="12">
        <v>1</v>
      </c>
      <c r="Y33" s="12" t="s">
        <v>182</v>
      </c>
      <c r="Z33" s="12" t="s">
        <v>48</v>
      </c>
      <c r="AA33" s="12" t="s">
        <v>183</v>
      </c>
      <c r="AB33" s="14" t="str">
        <f>MID(PEDIDOS[[#This Row],[Vencimento(s)]],1,10)</f>
        <v>05/02/2026</v>
      </c>
      <c r="AC33" s="14" t="str">
        <f>MID(PEDIDOS[[#This Row],[Vencimento(s)]],14,10)</f>
        <v>12/02/2026</v>
      </c>
      <c r="AD33" s="14" t="str">
        <f>MID(PEDIDOS[[#This Row],[Vencimento(s)]],27,10)</f>
        <v>19/02/2026</v>
      </c>
      <c r="AE33" s="12" t="str">
        <f>MID(PEDIDOS[[#This Row],[Vencimento(s)]],40,10)</f>
        <v/>
      </c>
      <c r="AF33" s="12" t="str">
        <f>MID(PEDIDOS[[#This Row],[Vencimento(s)]],53,10)</f>
        <v/>
      </c>
    </row>
    <row r="34" spans="1:32" x14ac:dyDescent="0.25">
      <c r="A34" s="8" t="str">
        <f>_xlfn.CONCAT("001/",PEDIDOS[[#This Row],[Nota Fiscal]])</f>
        <v>001/000023136</v>
      </c>
      <c r="B34" s="8" t="str">
        <f>_xlfn.XLOOKUP(PEDIDOS[[#This Row],[NFS]],'[1]MOVIMENTAÇÃO DE ESTOQUE'!AA:AA,'[1]MOVIMENTAÇÃO DE ESTOQUE'!A:A,"NÃO",0,1)</f>
        <v>067004010</v>
      </c>
      <c r="C34" s="9">
        <f>IFERROR(SUM(PEDIDOS[[#This Row],[PRAZO 1]:[PRAZO 6]])/COUNT(PEDIDOS[[#This Row],[PRAZO 1]:[PRAZO 6]]),"VERIFICAR")</f>
        <v>0</v>
      </c>
      <c r="D34" s="9">
        <f>PEDIDOS[[#This Row],[PM]]/7</f>
        <v>0</v>
      </c>
      <c r="E34" s="10">
        <f>IF(PEDIDOS[[#This Row],[NUM DE SEMANA]]=4,0,_xlfn.XLOOKUP(PEDIDOS[[#This Row],[NUM DE SEMANA]],'[1]SEMANAS DE PAGAMENTO'!A:A,'[1]SEMANAS DE PAGAMENTO'!B:B,"VERIFICAR",-1))</f>
        <v>2E-3</v>
      </c>
      <c r="F34" s="11">
        <f t="shared" si="2"/>
        <v>0</v>
      </c>
      <c r="G34" s="11" t="str">
        <f t="shared" si="3"/>
        <v/>
      </c>
      <c r="H34" s="11" t="str">
        <f t="shared" si="3"/>
        <v/>
      </c>
      <c r="I34" s="11" t="str">
        <f t="shared" si="3"/>
        <v/>
      </c>
      <c r="J34" s="11" t="str">
        <f t="shared" si="3"/>
        <v/>
      </c>
      <c r="K34" s="11" t="str">
        <f t="shared" si="1"/>
        <v/>
      </c>
      <c r="L34" s="12" t="s">
        <v>184</v>
      </c>
      <c r="M34" s="12" t="s">
        <v>35</v>
      </c>
      <c r="N34" s="12" t="s">
        <v>185</v>
      </c>
      <c r="O34" s="12" t="s">
        <v>174</v>
      </c>
      <c r="P34" s="12" t="s">
        <v>61</v>
      </c>
      <c r="Q34" s="12" t="s">
        <v>186</v>
      </c>
      <c r="R34" s="13">
        <v>2000.2000677650999</v>
      </c>
      <c r="S34" s="13">
        <v>6343.08</v>
      </c>
      <c r="T34" s="13">
        <v>0</v>
      </c>
      <c r="U34" s="13">
        <v>0</v>
      </c>
      <c r="V34" s="13">
        <v>0</v>
      </c>
      <c r="W34" s="13">
        <v>0</v>
      </c>
      <c r="X34" s="12">
        <v>3</v>
      </c>
      <c r="Y34" s="12" t="s">
        <v>187</v>
      </c>
      <c r="Z34" s="12" t="s">
        <v>41</v>
      </c>
      <c r="AA34" s="12" t="s">
        <v>174</v>
      </c>
      <c r="AB34" s="14" t="str">
        <f>MID(PEDIDOS[[#This Row],[Vencimento(s)]],1,10)</f>
        <v>16/01/2026</v>
      </c>
      <c r="AC34" s="14" t="str">
        <f>MID(PEDIDOS[[#This Row],[Vencimento(s)]],14,10)</f>
        <v/>
      </c>
      <c r="AD34" s="14" t="str">
        <f>MID(PEDIDOS[[#This Row],[Vencimento(s)]],27,10)</f>
        <v/>
      </c>
      <c r="AE34" s="12" t="str">
        <f>MID(PEDIDOS[[#This Row],[Vencimento(s)]],40,10)</f>
        <v/>
      </c>
      <c r="AF34" s="12" t="str">
        <f>MID(PEDIDOS[[#This Row],[Vencimento(s)]],53,10)</f>
        <v/>
      </c>
    </row>
    <row r="35" spans="1:32" x14ac:dyDescent="0.25">
      <c r="A35" s="8" t="str">
        <f>_xlfn.CONCAT("001/",PEDIDOS[[#This Row],[Nota Fiscal]])</f>
        <v>001/000023113</v>
      </c>
      <c r="B35" s="8" t="str">
        <f>_xlfn.XLOOKUP(PEDIDOS[[#This Row],[NFS]],'[1]MOVIMENTAÇÃO DE ESTOQUE'!AA:AA,'[1]MOVIMENTAÇÃO DE ESTOQUE'!A:A,"NÃO",0,1)</f>
        <v>030004003</v>
      </c>
      <c r="C35" s="9">
        <f>IFERROR(SUM(PEDIDOS[[#This Row],[PRAZO 1]:[PRAZO 6]])/COUNT(PEDIDOS[[#This Row],[PRAZO 1]:[PRAZO 6]]),"VERIFICAR")</f>
        <v>28</v>
      </c>
      <c r="D35" s="9">
        <f>PEDIDOS[[#This Row],[PM]]/7</f>
        <v>4</v>
      </c>
      <c r="E35" s="10">
        <f>IF(PEDIDOS[[#This Row],[NUM DE SEMANA]]=4,0,_xlfn.XLOOKUP(PEDIDOS[[#This Row],[NUM DE SEMANA]],'[1]SEMANAS DE PAGAMENTO'!A:A,'[1]SEMANAS DE PAGAMENTO'!B:B,"VERIFICAR",-1))</f>
        <v>0</v>
      </c>
      <c r="F35" s="11">
        <f t="shared" si="2"/>
        <v>28</v>
      </c>
      <c r="G35" s="11" t="str">
        <f t="shared" si="3"/>
        <v/>
      </c>
      <c r="H35" s="11" t="str">
        <f t="shared" si="3"/>
        <v/>
      </c>
      <c r="I35" s="11" t="str">
        <f t="shared" si="3"/>
        <v/>
      </c>
      <c r="J35" s="11" t="str">
        <f t="shared" si="3"/>
        <v/>
      </c>
      <c r="K35" s="11" t="str">
        <f t="shared" si="1"/>
        <v/>
      </c>
      <c r="L35" s="12" t="s">
        <v>188</v>
      </c>
      <c r="M35" s="12" t="s">
        <v>35</v>
      </c>
      <c r="N35" s="12" t="s">
        <v>189</v>
      </c>
      <c r="O35" s="12" t="s">
        <v>190</v>
      </c>
      <c r="P35" s="12" t="s">
        <v>54</v>
      </c>
      <c r="Q35" s="12" t="s">
        <v>191</v>
      </c>
      <c r="R35" s="13">
        <v>153.5224824771</v>
      </c>
      <c r="S35" s="13">
        <v>679.48</v>
      </c>
      <c r="T35" s="13">
        <v>0</v>
      </c>
      <c r="U35" s="13">
        <v>0</v>
      </c>
      <c r="V35" s="13">
        <v>0</v>
      </c>
      <c r="W35" s="13">
        <v>0</v>
      </c>
      <c r="X35" s="12">
        <v>1</v>
      </c>
      <c r="Y35" s="12" t="s">
        <v>63</v>
      </c>
      <c r="Z35" s="12" t="s">
        <v>48</v>
      </c>
      <c r="AA35" s="12" t="s">
        <v>192</v>
      </c>
      <c r="AB35" s="14" t="str">
        <f>MID(PEDIDOS[[#This Row],[Vencimento(s)]],1,10)</f>
        <v>12/02/2026</v>
      </c>
      <c r="AC35" s="14" t="str">
        <f>MID(PEDIDOS[[#This Row],[Vencimento(s)]],14,10)</f>
        <v/>
      </c>
      <c r="AD35" s="14" t="str">
        <f>MID(PEDIDOS[[#This Row],[Vencimento(s)]],27,10)</f>
        <v/>
      </c>
      <c r="AE35" s="12" t="str">
        <f>MID(PEDIDOS[[#This Row],[Vencimento(s)]],40,10)</f>
        <v/>
      </c>
      <c r="AF35" s="12" t="str">
        <f>MID(PEDIDOS[[#This Row],[Vencimento(s)]],53,10)</f>
        <v/>
      </c>
    </row>
    <row r="36" spans="1:32" x14ac:dyDescent="0.25">
      <c r="A36" s="8" t="str">
        <f>_xlfn.CONCAT("001/",PEDIDOS[[#This Row],[Nota Fiscal]])</f>
        <v>001/000023155</v>
      </c>
      <c r="B36" s="8" t="str">
        <f>_xlfn.XLOOKUP(PEDIDOS[[#This Row],[NFS]],'[1]MOVIMENTAÇÃO DE ESTOQUE'!AA:AA,'[1]MOVIMENTAÇÃO DE ESTOQUE'!A:A,"NÃO",0,1)</f>
        <v>026005074</v>
      </c>
      <c r="C36" s="9">
        <f>IFERROR(SUM(PEDIDOS[[#This Row],[PRAZO 1]:[PRAZO 6]])/COUNT(PEDIDOS[[#This Row],[PRAZO 1]:[PRAZO 6]]),"VERIFICAR")</f>
        <v>24.5</v>
      </c>
      <c r="D36" s="9">
        <f>PEDIDOS[[#This Row],[PM]]/7</f>
        <v>3.5</v>
      </c>
      <c r="E36" s="10">
        <f>IF(PEDIDOS[[#This Row],[NUM DE SEMANA]]=4,0,_xlfn.XLOOKUP(PEDIDOS[[#This Row],[NUM DE SEMANA]],'[1]SEMANAS DE PAGAMENTO'!A:A,'[1]SEMANAS DE PAGAMENTO'!B:B,"VERIFICAR",-1))</f>
        <v>1E-3</v>
      </c>
      <c r="F36" s="11">
        <f t="shared" si="2"/>
        <v>21</v>
      </c>
      <c r="G36" s="11">
        <f t="shared" si="3"/>
        <v>28</v>
      </c>
      <c r="H36" s="11" t="str">
        <f t="shared" si="3"/>
        <v/>
      </c>
      <c r="I36" s="11" t="str">
        <f t="shared" si="3"/>
        <v/>
      </c>
      <c r="J36" s="11" t="str">
        <f t="shared" si="3"/>
        <v/>
      </c>
      <c r="K36" s="11" t="str">
        <f t="shared" si="1"/>
        <v/>
      </c>
      <c r="L36" s="12" t="s">
        <v>193</v>
      </c>
      <c r="M36" s="12" t="s">
        <v>59</v>
      </c>
      <c r="N36" s="12" t="s">
        <v>194</v>
      </c>
      <c r="O36" s="12" t="s">
        <v>149</v>
      </c>
      <c r="P36" s="12" t="s">
        <v>54</v>
      </c>
      <c r="Q36" s="12" t="s">
        <v>195</v>
      </c>
      <c r="R36" s="13">
        <v>2169.6082631600002</v>
      </c>
      <c r="S36" s="13">
        <v>5352.75</v>
      </c>
      <c r="T36" s="13">
        <v>0</v>
      </c>
      <c r="U36" s="13">
        <v>0</v>
      </c>
      <c r="V36" s="13">
        <v>0</v>
      </c>
      <c r="W36" s="13">
        <v>0</v>
      </c>
      <c r="X36" s="12">
        <v>25</v>
      </c>
      <c r="Y36" s="12" t="s">
        <v>196</v>
      </c>
      <c r="Z36" s="12" t="s">
        <v>48</v>
      </c>
      <c r="AA36" s="12" t="s">
        <v>197</v>
      </c>
      <c r="AB36" s="14" t="str">
        <f>MID(PEDIDOS[[#This Row],[Vencimento(s)]],1,10)</f>
        <v>09/02/2026</v>
      </c>
      <c r="AC36" s="14" t="str">
        <f>MID(PEDIDOS[[#This Row],[Vencimento(s)]],14,10)</f>
        <v>16/02/2026</v>
      </c>
      <c r="AD36" s="14" t="str">
        <f>MID(PEDIDOS[[#This Row],[Vencimento(s)]],27,10)</f>
        <v/>
      </c>
      <c r="AE36" s="12" t="str">
        <f>MID(PEDIDOS[[#This Row],[Vencimento(s)]],40,10)</f>
        <v/>
      </c>
      <c r="AF36" s="12" t="str">
        <f>MID(PEDIDOS[[#This Row],[Vencimento(s)]],53,10)</f>
        <v/>
      </c>
    </row>
    <row r="37" spans="1:32" x14ac:dyDescent="0.25">
      <c r="A37" s="8" t="str">
        <f>_xlfn.CONCAT("001/",PEDIDOS[[#This Row],[Nota Fiscal]])</f>
        <v>001/000023114</v>
      </c>
      <c r="B37" s="8" t="str">
        <f>_xlfn.XLOOKUP(PEDIDOS[[#This Row],[NFS]],'[1]MOVIMENTAÇÃO DE ESTOQUE'!AA:AA,'[1]MOVIMENTAÇÃO DE ESTOQUE'!A:A,"NÃO",0,1)</f>
        <v>066004001</v>
      </c>
      <c r="C37" s="9">
        <f>IFERROR(SUM(PEDIDOS[[#This Row],[PRAZO 1]:[PRAZO 6]])/COUNT(PEDIDOS[[#This Row],[PRAZO 1]:[PRAZO 6]]),"VERIFICAR")</f>
        <v>0</v>
      </c>
      <c r="D37" s="9">
        <f>PEDIDOS[[#This Row],[PM]]/7</f>
        <v>0</v>
      </c>
      <c r="E37" s="10">
        <f>IF(PEDIDOS[[#This Row],[NUM DE SEMANA]]=4,0,_xlfn.XLOOKUP(PEDIDOS[[#This Row],[NUM DE SEMANA]],'[1]SEMANAS DE PAGAMENTO'!A:A,'[1]SEMANAS DE PAGAMENTO'!B:B,"VERIFICAR",-1))</f>
        <v>2E-3</v>
      </c>
      <c r="F37" s="11">
        <f t="shared" si="2"/>
        <v>0</v>
      </c>
      <c r="G37" s="11" t="str">
        <f t="shared" si="3"/>
        <v/>
      </c>
      <c r="H37" s="11" t="str">
        <f t="shared" si="3"/>
        <v/>
      </c>
      <c r="I37" s="11" t="str">
        <f t="shared" si="3"/>
        <v/>
      </c>
      <c r="J37" s="11" t="str">
        <f t="shared" si="3"/>
        <v/>
      </c>
      <c r="K37" s="11" t="str">
        <f t="shared" si="1"/>
        <v/>
      </c>
      <c r="L37" s="12" t="s">
        <v>198</v>
      </c>
      <c r="M37" s="12" t="s">
        <v>59</v>
      </c>
      <c r="N37" s="12" t="s">
        <v>199</v>
      </c>
      <c r="O37" s="12" t="s">
        <v>190</v>
      </c>
      <c r="P37" s="12" t="s">
        <v>200</v>
      </c>
      <c r="Q37" s="12" t="s">
        <v>201</v>
      </c>
      <c r="R37" s="13">
        <v>774.37200952379999</v>
      </c>
      <c r="S37" s="13">
        <v>1897.33</v>
      </c>
      <c r="T37" s="13">
        <v>0</v>
      </c>
      <c r="U37" s="13">
        <v>0</v>
      </c>
      <c r="V37" s="13">
        <v>0</v>
      </c>
      <c r="W37" s="13">
        <v>0</v>
      </c>
      <c r="X37" s="12">
        <v>1</v>
      </c>
      <c r="Y37" s="12" t="s">
        <v>63</v>
      </c>
      <c r="Z37" s="12" t="s">
        <v>41</v>
      </c>
      <c r="AA37" s="12" t="s">
        <v>190</v>
      </c>
      <c r="AB37" s="14" t="str">
        <f>MID(PEDIDOS[[#This Row],[Vencimento(s)]],1,10)</f>
        <v>15/01/2026</v>
      </c>
      <c r="AC37" s="14" t="str">
        <f>MID(PEDIDOS[[#This Row],[Vencimento(s)]],14,10)</f>
        <v/>
      </c>
      <c r="AD37" s="14" t="str">
        <f>MID(PEDIDOS[[#This Row],[Vencimento(s)]],27,10)</f>
        <v/>
      </c>
      <c r="AE37" s="12" t="str">
        <f>MID(PEDIDOS[[#This Row],[Vencimento(s)]],40,10)</f>
        <v/>
      </c>
      <c r="AF37" s="12" t="str">
        <f>MID(PEDIDOS[[#This Row],[Vencimento(s)]],53,10)</f>
        <v/>
      </c>
    </row>
    <row r="38" spans="1:32" x14ac:dyDescent="0.25">
      <c r="A38" s="8" t="str">
        <f>_xlfn.CONCAT("001/",PEDIDOS[[#This Row],[Nota Fiscal]])</f>
        <v>001/000023094</v>
      </c>
      <c r="B38" s="8" t="str">
        <f>_xlfn.XLOOKUP(PEDIDOS[[#This Row],[NFS]],'[1]MOVIMENTAÇÃO DE ESTOQUE'!AA:AA,'[1]MOVIMENTAÇÃO DE ESTOQUE'!A:A,"NÃO",0,1)</f>
        <v>030004003</v>
      </c>
      <c r="C38" s="9">
        <f>IFERROR(SUM(PEDIDOS[[#This Row],[PRAZO 1]:[PRAZO 6]])/COUNT(PEDIDOS[[#This Row],[PRAZO 1]:[PRAZO 6]]),"VERIFICAR")</f>
        <v>45</v>
      </c>
      <c r="D38" s="9">
        <f>PEDIDOS[[#This Row],[PM]]/7</f>
        <v>6.4285714285714288</v>
      </c>
      <c r="E38" s="10">
        <f>IF(PEDIDOS[[#This Row],[NUM DE SEMANA]]=4,0,_xlfn.XLOOKUP(PEDIDOS[[#This Row],[NUM DE SEMANA]],'[1]SEMANAS DE PAGAMENTO'!A:A,'[1]SEMANAS DE PAGAMENTO'!B:B,"VERIFICAR",-1))</f>
        <v>-1E-3</v>
      </c>
      <c r="F38" s="11">
        <f t="shared" si="2"/>
        <v>45</v>
      </c>
      <c r="G38" s="11" t="str">
        <f t="shared" si="3"/>
        <v/>
      </c>
      <c r="H38" s="11" t="str">
        <f t="shared" si="3"/>
        <v/>
      </c>
      <c r="I38" s="11" t="str">
        <f t="shared" si="3"/>
        <v/>
      </c>
      <c r="J38" s="11" t="str">
        <f t="shared" si="3"/>
        <v/>
      </c>
      <c r="K38" s="11" t="str">
        <f t="shared" si="1"/>
        <v/>
      </c>
      <c r="L38" s="12" t="s">
        <v>202</v>
      </c>
      <c r="M38" s="12" t="s">
        <v>35</v>
      </c>
      <c r="N38" s="12" t="s">
        <v>203</v>
      </c>
      <c r="O38" s="12" t="s">
        <v>204</v>
      </c>
      <c r="P38" s="12" t="s">
        <v>45</v>
      </c>
      <c r="Q38" s="12" t="s">
        <v>205</v>
      </c>
      <c r="R38" s="13">
        <v>153.5224824771</v>
      </c>
      <c r="S38" s="13">
        <v>455.92</v>
      </c>
      <c r="T38" s="13">
        <v>0</v>
      </c>
      <c r="U38" s="13">
        <v>0</v>
      </c>
      <c r="V38" s="13">
        <v>0</v>
      </c>
      <c r="W38" s="13">
        <v>0</v>
      </c>
      <c r="X38" s="12">
        <v>1</v>
      </c>
      <c r="Y38" s="12" t="s">
        <v>206</v>
      </c>
      <c r="Z38" s="12" t="s">
        <v>48</v>
      </c>
      <c r="AA38" s="12" t="s">
        <v>207</v>
      </c>
      <c r="AB38" s="14" t="str">
        <f>MID(PEDIDOS[[#This Row],[Vencimento(s)]],1,10)</f>
        <v>28/02/2026</v>
      </c>
      <c r="AC38" s="14" t="str">
        <f>MID(PEDIDOS[[#This Row],[Vencimento(s)]],14,10)</f>
        <v/>
      </c>
      <c r="AD38" s="14" t="str">
        <f>MID(PEDIDOS[[#This Row],[Vencimento(s)]],27,10)</f>
        <v/>
      </c>
      <c r="AE38" s="12" t="str">
        <f>MID(PEDIDOS[[#This Row],[Vencimento(s)]],40,10)</f>
        <v/>
      </c>
      <c r="AF38" s="12" t="str">
        <f>MID(PEDIDOS[[#This Row],[Vencimento(s)]],53,10)</f>
        <v/>
      </c>
    </row>
    <row r="39" spans="1:32" x14ac:dyDescent="0.25">
      <c r="A39" s="8" t="str">
        <f>_xlfn.CONCAT("001/",PEDIDOS[[#This Row],[Nota Fiscal]])</f>
        <v>001/000023115</v>
      </c>
      <c r="B39" s="8" t="str">
        <f>_xlfn.XLOOKUP(PEDIDOS[[#This Row],[NFS]],'[1]MOVIMENTAÇÃO DE ESTOQUE'!AA:AA,'[1]MOVIMENTAÇÃO DE ESTOQUE'!A:A,"NÃO",0,1)</f>
        <v>030004006</v>
      </c>
      <c r="C39" s="9">
        <f>IFERROR(SUM(PEDIDOS[[#This Row],[PRAZO 1]:[PRAZO 6]])/COUNT(PEDIDOS[[#This Row],[PRAZO 1]:[PRAZO 6]]),"VERIFICAR")</f>
        <v>28</v>
      </c>
      <c r="D39" s="9">
        <f>PEDIDOS[[#This Row],[PM]]/7</f>
        <v>4</v>
      </c>
      <c r="E39" s="10">
        <f>IF(PEDIDOS[[#This Row],[NUM DE SEMANA]]=4,0,_xlfn.XLOOKUP(PEDIDOS[[#This Row],[NUM DE SEMANA]],'[1]SEMANAS DE PAGAMENTO'!A:A,'[1]SEMANAS DE PAGAMENTO'!B:B,"VERIFICAR",-1))</f>
        <v>0</v>
      </c>
      <c r="F39" s="11">
        <f t="shared" si="2"/>
        <v>21</v>
      </c>
      <c r="G39" s="11">
        <f t="shared" si="3"/>
        <v>28</v>
      </c>
      <c r="H39" s="11">
        <f t="shared" si="3"/>
        <v>35</v>
      </c>
      <c r="I39" s="11" t="str">
        <f t="shared" si="3"/>
        <v/>
      </c>
      <c r="J39" s="11" t="str">
        <f t="shared" si="3"/>
        <v/>
      </c>
      <c r="K39" s="11" t="str">
        <f t="shared" si="1"/>
        <v/>
      </c>
      <c r="L39" s="12" t="s">
        <v>208</v>
      </c>
      <c r="M39" s="12" t="s">
        <v>59</v>
      </c>
      <c r="N39" s="12" t="s">
        <v>209</v>
      </c>
      <c r="O39" s="12" t="s">
        <v>190</v>
      </c>
      <c r="P39" s="12" t="s">
        <v>54</v>
      </c>
      <c r="Q39" s="12" t="s">
        <v>210</v>
      </c>
      <c r="R39" s="13">
        <v>8845.7539299212003</v>
      </c>
      <c r="S39" s="13">
        <v>19087.72</v>
      </c>
      <c r="T39" s="13">
        <v>0</v>
      </c>
      <c r="U39" s="13">
        <v>0</v>
      </c>
      <c r="V39" s="13">
        <v>0</v>
      </c>
      <c r="W39" s="13">
        <v>0</v>
      </c>
      <c r="X39" s="12">
        <v>66</v>
      </c>
      <c r="Y39" s="12" t="s">
        <v>211</v>
      </c>
      <c r="Z39" s="12" t="s">
        <v>48</v>
      </c>
      <c r="AA39" s="12" t="s">
        <v>183</v>
      </c>
      <c r="AB39" s="14" t="str">
        <f>MID(PEDIDOS[[#This Row],[Vencimento(s)]],1,10)</f>
        <v>05/02/2026</v>
      </c>
      <c r="AC39" s="14" t="str">
        <f>MID(PEDIDOS[[#This Row],[Vencimento(s)]],14,10)</f>
        <v>12/02/2026</v>
      </c>
      <c r="AD39" s="14" t="str">
        <f>MID(PEDIDOS[[#This Row],[Vencimento(s)]],27,10)</f>
        <v>19/02/2026</v>
      </c>
      <c r="AE39" s="12" t="str">
        <f>MID(PEDIDOS[[#This Row],[Vencimento(s)]],40,10)</f>
        <v/>
      </c>
      <c r="AF39" s="12" t="str">
        <f>MID(PEDIDOS[[#This Row],[Vencimento(s)]],53,10)</f>
        <v/>
      </c>
    </row>
    <row r="40" spans="1:32" x14ac:dyDescent="0.25">
      <c r="A40" s="8" t="str">
        <f>_xlfn.CONCAT("001/",PEDIDOS[[#This Row],[Nota Fiscal]])</f>
        <v>001/000023112</v>
      </c>
      <c r="B40" s="8" t="str">
        <f>_xlfn.XLOOKUP(PEDIDOS[[#This Row],[NFS]],'[1]MOVIMENTAÇÃO DE ESTOQUE'!AA:AA,'[1]MOVIMENTAÇÃO DE ESTOQUE'!A:A,"NÃO",0,1)</f>
        <v>008014001</v>
      </c>
      <c r="C40" s="9">
        <f>IFERROR(SUM(PEDIDOS[[#This Row],[PRAZO 1]:[PRAZO 6]])/COUNT(PEDIDOS[[#This Row],[PRAZO 1]:[PRAZO 6]]),"VERIFICAR")</f>
        <v>0</v>
      </c>
      <c r="D40" s="9">
        <f>PEDIDOS[[#This Row],[PM]]/7</f>
        <v>0</v>
      </c>
      <c r="E40" s="10">
        <f>IF(PEDIDOS[[#This Row],[NUM DE SEMANA]]=4,0,_xlfn.XLOOKUP(PEDIDOS[[#This Row],[NUM DE SEMANA]],'[1]SEMANAS DE PAGAMENTO'!A:A,'[1]SEMANAS DE PAGAMENTO'!B:B,"VERIFICAR",-1))</f>
        <v>2E-3</v>
      </c>
      <c r="F40" s="11">
        <f t="shared" si="2"/>
        <v>0</v>
      </c>
      <c r="G40" s="11" t="str">
        <f t="shared" si="3"/>
        <v/>
      </c>
      <c r="H40" s="11" t="str">
        <f t="shared" si="3"/>
        <v/>
      </c>
      <c r="I40" s="11" t="str">
        <f t="shared" si="3"/>
        <v/>
      </c>
      <c r="J40" s="11" t="str">
        <f t="shared" si="3"/>
        <v/>
      </c>
      <c r="K40" s="11" t="str">
        <f t="shared" si="1"/>
        <v/>
      </c>
      <c r="L40" s="12" t="s">
        <v>212</v>
      </c>
      <c r="M40" s="12" t="s">
        <v>35</v>
      </c>
      <c r="N40" s="12" t="s">
        <v>213</v>
      </c>
      <c r="O40" s="12" t="s">
        <v>190</v>
      </c>
      <c r="P40" s="12" t="s">
        <v>54</v>
      </c>
      <c r="Q40" s="12" t="s">
        <v>214</v>
      </c>
      <c r="R40" s="13">
        <v>539.6</v>
      </c>
      <c r="S40" s="13">
        <v>1387.11</v>
      </c>
      <c r="T40" s="13">
        <v>0</v>
      </c>
      <c r="U40" s="13">
        <v>0</v>
      </c>
      <c r="V40" s="13">
        <v>0</v>
      </c>
      <c r="W40" s="13">
        <v>0</v>
      </c>
      <c r="X40" s="12">
        <v>1</v>
      </c>
      <c r="Y40" s="12" t="s">
        <v>63</v>
      </c>
      <c r="Z40" s="12" t="s">
        <v>41</v>
      </c>
      <c r="AA40" s="12" t="s">
        <v>190</v>
      </c>
      <c r="AB40" s="14" t="str">
        <f>MID(PEDIDOS[[#This Row],[Vencimento(s)]],1,10)</f>
        <v>15/01/2026</v>
      </c>
      <c r="AC40" s="14" t="str">
        <f>MID(PEDIDOS[[#This Row],[Vencimento(s)]],14,10)</f>
        <v/>
      </c>
      <c r="AD40" s="14" t="str">
        <f>MID(PEDIDOS[[#This Row],[Vencimento(s)]],27,10)</f>
        <v/>
      </c>
      <c r="AE40" s="12" t="str">
        <f>MID(PEDIDOS[[#This Row],[Vencimento(s)]],40,10)</f>
        <v/>
      </c>
      <c r="AF40" s="12" t="str">
        <f>MID(PEDIDOS[[#This Row],[Vencimento(s)]],53,10)</f>
        <v/>
      </c>
    </row>
    <row r="41" spans="1:32" x14ac:dyDescent="0.25">
      <c r="A41" s="8" t="str">
        <f>_xlfn.CONCAT("001/",PEDIDOS[[#This Row],[Nota Fiscal]])</f>
        <v>001/000023110</v>
      </c>
      <c r="B41" s="8" t="str">
        <f>_xlfn.XLOOKUP(PEDIDOS[[#This Row],[NFS]],'[1]MOVIMENTAÇÃO DE ESTOQUE'!AA:AA,'[1]MOVIMENTAÇÃO DE ESTOQUE'!A:A,"NÃO",0,1)</f>
        <v>077004003</v>
      </c>
      <c r="C41" s="9">
        <f>IFERROR(SUM(PEDIDOS[[#This Row],[PRAZO 1]:[PRAZO 6]])/COUNT(PEDIDOS[[#This Row],[PRAZO 1]:[PRAZO 6]]),"VERIFICAR")</f>
        <v>28</v>
      </c>
      <c r="D41" s="9">
        <f>PEDIDOS[[#This Row],[PM]]/7</f>
        <v>4</v>
      </c>
      <c r="E41" s="10">
        <f>IF(PEDIDOS[[#This Row],[NUM DE SEMANA]]=4,0,_xlfn.XLOOKUP(PEDIDOS[[#This Row],[NUM DE SEMANA]],'[1]SEMANAS DE PAGAMENTO'!A:A,'[1]SEMANAS DE PAGAMENTO'!B:B,"VERIFICAR",-1))</f>
        <v>0</v>
      </c>
      <c r="F41" s="11">
        <f t="shared" si="2"/>
        <v>21</v>
      </c>
      <c r="G41" s="11">
        <f t="shared" si="3"/>
        <v>28</v>
      </c>
      <c r="H41" s="11">
        <f t="shared" si="3"/>
        <v>35</v>
      </c>
      <c r="I41" s="11" t="str">
        <f t="shared" si="3"/>
        <v/>
      </c>
      <c r="J41" s="11" t="str">
        <f t="shared" si="3"/>
        <v/>
      </c>
      <c r="K41" s="11" t="str">
        <f t="shared" si="1"/>
        <v/>
      </c>
      <c r="L41" s="12" t="s">
        <v>215</v>
      </c>
      <c r="M41" s="12" t="s">
        <v>59</v>
      </c>
      <c r="N41" s="12" t="s">
        <v>216</v>
      </c>
      <c r="O41" s="12" t="s">
        <v>190</v>
      </c>
      <c r="P41" s="12" t="s">
        <v>54</v>
      </c>
      <c r="Q41" s="12" t="s">
        <v>217</v>
      </c>
      <c r="R41" s="13">
        <v>1243.7956999999001</v>
      </c>
      <c r="S41" s="13">
        <v>5537.04</v>
      </c>
      <c r="T41" s="13">
        <v>0</v>
      </c>
      <c r="U41" s="13">
        <v>0</v>
      </c>
      <c r="V41" s="13">
        <v>0</v>
      </c>
      <c r="W41" s="13">
        <v>0</v>
      </c>
      <c r="X41" s="12">
        <v>4</v>
      </c>
      <c r="Y41" s="12" t="s">
        <v>63</v>
      </c>
      <c r="Z41" s="12" t="s">
        <v>48</v>
      </c>
      <c r="AA41" s="12" t="s">
        <v>183</v>
      </c>
      <c r="AB41" s="14" t="str">
        <f>MID(PEDIDOS[[#This Row],[Vencimento(s)]],1,10)</f>
        <v>05/02/2026</v>
      </c>
      <c r="AC41" s="14" t="str">
        <f>MID(PEDIDOS[[#This Row],[Vencimento(s)]],14,10)</f>
        <v>12/02/2026</v>
      </c>
      <c r="AD41" s="14" t="str">
        <f>MID(PEDIDOS[[#This Row],[Vencimento(s)]],27,10)</f>
        <v>19/02/2026</v>
      </c>
      <c r="AE41" s="12" t="str">
        <f>MID(PEDIDOS[[#This Row],[Vencimento(s)]],40,10)</f>
        <v/>
      </c>
      <c r="AF41" s="12" t="str">
        <f>MID(PEDIDOS[[#This Row],[Vencimento(s)]],53,10)</f>
        <v/>
      </c>
    </row>
    <row r="42" spans="1:32" x14ac:dyDescent="0.25">
      <c r="A42" s="8" t="str">
        <f>_xlfn.CONCAT("001/",PEDIDOS[[#This Row],[Nota Fiscal]])</f>
        <v>001/000023315</v>
      </c>
      <c r="B42" s="8" t="str">
        <f>_xlfn.XLOOKUP(PEDIDOS[[#This Row],[NFS]],'[1]MOVIMENTAÇÃO DE ESTOQUE'!AA:AA,'[1]MOVIMENTAÇÃO DE ESTOQUE'!A:A,"NÃO",0,1)</f>
        <v>092008001</v>
      </c>
      <c r="C42" s="9">
        <f>IFERROR(SUM(PEDIDOS[[#This Row],[PRAZO 1]:[PRAZO 6]])/COUNT(PEDIDOS[[#This Row],[PRAZO 1]:[PRAZO 6]]),"VERIFICAR")</f>
        <v>28</v>
      </c>
      <c r="D42" s="9">
        <f>PEDIDOS[[#This Row],[PM]]/7</f>
        <v>4</v>
      </c>
      <c r="E42" s="10">
        <f>IF(PEDIDOS[[#This Row],[NUM DE SEMANA]]=4,0,_xlfn.XLOOKUP(PEDIDOS[[#This Row],[NUM DE SEMANA]],'[1]SEMANAS DE PAGAMENTO'!A:A,'[1]SEMANAS DE PAGAMENTO'!B:B,"VERIFICAR",-1))</f>
        <v>0</v>
      </c>
      <c r="F42" s="11">
        <f t="shared" si="2"/>
        <v>21</v>
      </c>
      <c r="G42" s="11">
        <f t="shared" si="3"/>
        <v>28</v>
      </c>
      <c r="H42" s="11">
        <f t="shared" si="3"/>
        <v>35</v>
      </c>
      <c r="I42" s="11" t="str">
        <f t="shared" si="3"/>
        <v/>
      </c>
      <c r="J42" s="11" t="str">
        <f t="shared" si="3"/>
        <v/>
      </c>
      <c r="K42" s="11" t="str">
        <f t="shared" si="1"/>
        <v/>
      </c>
      <c r="L42" s="12" t="s">
        <v>218</v>
      </c>
      <c r="M42" s="12" t="s">
        <v>35</v>
      </c>
      <c r="N42" s="12" t="s">
        <v>219</v>
      </c>
      <c r="O42" s="12" t="s">
        <v>37</v>
      </c>
      <c r="P42" s="12" t="s">
        <v>54</v>
      </c>
      <c r="Q42" s="12" t="s">
        <v>220</v>
      </c>
      <c r="R42" s="13">
        <v>4919.6849323311999</v>
      </c>
      <c r="S42" s="13">
        <v>5119.5200000000004</v>
      </c>
      <c r="T42" s="13">
        <v>0</v>
      </c>
      <c r="U42" s="13">
        <v>0</v>
      </c>
      <c r="V42" s="13">
        <v>0</v>
      </c>
      <c r="W42" s="13">
        <v>0</v>
      </c>
      <c r="X42" s="12">
        <v>8</v>
      </c>
      <c r="Y42" s="12" t="s">
        <v>63</v>
      </c>
      <c r="Z42" s="12" t="s">
        <v>48</v>
      </c>
      <c r="AA42" s="12" t="s">
        <v>136</v>
      </c>
      <c r="AB42" s="14" t="str">
        <f>MID(PEDIDOS[[#This Row],[Vencimento(s)]],1,10)</f>
        <v>20/02/2026</v>
      </c>
      <c r="AC42" s="14" t="str">
        <f>MID(PEDIDOS[[#This Row],[Vencimento(s)]],14,10)</f>
        <v>27/02/2026</v>
      </c>
      <c r="AD42" s="14" t="str">
        <f>MID(PEDIDOS[[#This Row],[Vencimento(s)]],27,10)</f>
        <v>06/03/2026</v>
      </c>
      <c r="AE42" s="12" t="str">
        <f>MID(PEDIDOS[[#This Row],[Vencimento(s)]],40,10)</f>
        <v/>
      </c>
      <c r="AF42" s="12" t="str">
        <f>MID(PEDIDOS[[#This Row],[Vencimento(s)]],53,10)</f>
        <v/>
      </c>
    </row>
    <row r="43" spans="1:32" x14ac:dyDescent="0.25">
      <c r="A43" s="8" t="str">
        <f>_xlfn.CONCAT("001/",PEDIDOS[[#This Row],[Nota Fiscal]])</f>
        <v>001/000023116</v>
      </c>
      <c r="B43" s="8" t="str">
        <f>_xlfn.XLOOKUP(PEDIDOS[[#This Row],[NFS]],'[1]MOVIMENTAÇÃO DE ESTOQUE'!AA:AA,'[1]MOVIMENTAÇÃO DE ESTOQUE'!A:A,"NÃO",0,1)</f>
        <v>067004001</v>
      </c>
      <c r="C43" s="9">
        <f>IFERROR(SUM(PEDIDOS[[#This Row],[PRAZO 1]:[PRAZO 6]])/COUNT(PEDIDOS[[#This Row],[PRAZO 1]:[PRAZO 6]]),"VERIFICAR")</f>
        <v>0</v>
      </c>
      <c r="D43" s="9">
        <f>PEDIDOS[[#This Row],[PM]]/7</f>
        <v>0</v>
      </c>
      <c r="E43" s="10">
        <f>IF(PEDIDOS[[#This Row],[NUM DE SEMANA]]=4,0,_xlfn.XLOOKUP(PEDIDOS[[#This Row],[NUM DE SEMANA]],'[1]SEMANAS DE PAGAMENTO'!A:A,'[1]SEMANAS DE PAGAMENTO'!B:B,"VERIFICAR",-1))</f>
        <v>2E-3</v>
      </c>
      <c r="F43" s="11">
        <f t="shared" si="2"/>
        <v>0</v>
      </c>
      <c r="G43" s="11" t="str">
        <f t="shared" si="3"/>
        <v/>
      </c>
      <c r="H43" s="11" t="str">
        <f t="shared" si="3"/>
        <v/>
      </c>
      <c r="I43" s="11" t="str">
        <f t="shared" si="3"/>
        <v/>
      </c>
      <c r="J43" s="11" t="str">
        <f t="shared" si="3"/>
        <v/>
      </c>
      <c r="K43" s="11" t="str">
        <f t="shared" si="1"/>
        <v/>
      </c>
      <c r="L43" s="12" t="s">
        <v>221</v>
      </c>
      <c r="M43" s="12" t="s">
        <v>35</v>
      </c>
      <c r="N43" s="12" t="s">
        <v>222</v>
      </c>
      <c r="O43" s="12" t="s">
        <v>190</v>
      </c>
      <c r="P43" s="12" t="s">
        <v>61</v>
      </c>
      <c r="Q43" s="12" t="s">
        <v>223</v>
      </c>
      <c r="R43" s="13">
        <v>2159.2345</v>
      </c>
      <c r="S43" s="13">
        <v>8101.33</v>
      </c>
      <c r="T43" s="13">
        <v>0</v>
      </c>
      <c r="U43" s="13">
        <v>0</v>
      </c>
      <c r="V43" s="13">
        <v>0</v>
      </c>
      <c r="W43" s="13">
        <v>0</v>
      </c>
      <c r="X43" s="12">
        <v>5</v>
      </c>
      <c r="Y43" s="12" t="s">
        <v>224</v>
      </c>
      <c r="Z43" s="12" t="s">
        <v>41</v>
      </c>
      <c r="AA43" s="12" t="s">
        <v>190</v>
      </c>
      <c r="AB43" s="14" t="str">
        <f>MID(PEDIDOS[[#This Row],[Vencimento(s)]],1,10)</f>
        <v>15/01/2026</v>
      </c>
      <c r="AC43" s="14" t="str">
        <f>MID(PEDIDOS[[#This Row],[Vencimento(s)]],14,10)</f>
        <v/>
      </c>
      <c r="AD43" s="14" t="str">
        <f>MID(PEDIDOS[[#This Row],[Vencimento(s)]],27,10)</f>
        <v/>
      </c>
      <c r="AE43" s="12" t="str">
        <f>MID(PEDIDOS[[#This Row],[Vencimento(s)]],40,10)</f>
        <v/>
      </c>
      <c r="AF43" s="12" t="str">
        <f>MID(PEDIDOS[[#This Row],[Vencimento(s)]],53,10)</f>
        <v/>
      </c>
    </row>
    <row r="44" spans="1:32" x14ac:dyDescent="0.25">
      <c r="A44" s="8" t="str">
        <f>_xlfn.CONCAT("001/",PEDIDOS[[#This Row],[Nota Fiscal]])</f>
        <v>001/000023299</v>
      </c>
      <c r="B44" s="8" t="str">
        <f>_xlfn.XLOOKUP(PEDIDOS[[#This Row],[NFS]],'[1]MOVIMENTAÇÃO DE ESTOQUE'!AA:AA,'[1]MOVIMENTAÇÃO DE ESTOQUE'!A:A,"NÃO",0,1)</f>
        <v>004003001</v>
      </c>
      <c r="C44" s="9">
        <f>IFERROR(SUM(PEDIDOS[[#This Row],[PRAZO 1]:[PRAZO 6]])/COUNT(PEDIDOS[[#This Row],[PRAZO 1]:[PRAZO 6]]),"VERIFICAR")</f>
        <v>0</v>
      </c>
      <c r="D44" s="9">
        <f>PEDIDOS[[#This Row],[PM]]/7</f>
        <v>0</v>
      </c>
      <c r="E44" s="10">
        <f>IF(PEDIDOS[[#This Row],[NUM DE SEMANA]]=4,0,_xlfn.XLOOKUP(PEDIDOS[[#This Row],[NUM DE SEMANA]],'[1]SEMANAS DE PAGAMENTO'!A:A,'[1]SEMANAS DE PAGAMENTO'!B:B,"VERIFICAR",-1))</f>
        <v>2E-3</v>
      </c>
      <c r="F44" s="11">
        <f t="shared" si="2"/>
        <v>0</v>
      </c>
      <c r="G44" s="11" t="str">
        <f t="shared" si="3"/>
        <v/>
      </c>
      <c r="H44" s="11" t="str">
        <f t="shared" si="3"/>
        <v/>
      </c>
      <c r="I44" s="11" t="str">
        <f t="shared" si="3"/>
        <v/>
      </c>
      <c r="J44" s="11" t="str">
        <f t="shared" si="3"/>
        <v/>
      </c>
      <c r="K44" s="11" t="str">
        <f t="shared" si="1"/>
        <v/>
      </c>
      <c r="L44" s="12" t="s">
        <v>225</v>
      </c>
      <c r="M44" s="12" t="s">
        <v>59</v>
      </c>
      <c r="N44" s="12" t="s">
        <v>226</v>
      </c>
      <c r="O44" s="12" t="s">
        <v>102</v>
      </c>
      <c r="P44" s="12" t="s">
        <v>74</v>
      </c>
      <c r="Q44" s="12" t="s">
        <v>227</v>
      </c>
      <c r="R44" s="13">
        <v>485.16800000000001</v>
      </c>
      <c r="S44" s="13">
        <v>1801.12</v>
      </c>
      <c r="T44" s="13">
        <v>0</v>
      </c>
      <c r="U44" s="13">
        <v>0</v>
      </c>
      <c r="V44" s="13">
        <v>0</v>
      </c>
      <c r="W44" s="13">
        <v>0</v>
      </c>
      <c r="X44" s="12">
        <v>1.1000000000000001</v>
      </c>
      <c r="Y44" s="12" t="s">
        <v>63</v>
      </c>
      <c r="Z44" s="12" t="s">
        <v>41</v>
      </c>
      <c r="AA44" s="12" t="s">
        <v>102</v>
      </c>
      <c r="AB44" s="14" t="str">
        <f>MID(PEDIDOS[[#This Row],[Vencimento(s)]],1,10)</f>
        <v>29/01/2026</v>
      </c>
      <c r="AC44" s="14" t="str">
        <f>MID(PEDIDOS[[#This Row],[Vencimento(s)]],14,10)</f>
        <v/>
      </c>
      <c r="AD44" s="14" t="str">
        <f>MID(PEDIDOS[[#This Row],[Vencimento(s)]],27,10)</f>
        <v/>
      </c>
      <c r="AE44" s="12" t="str">
        <f>MID(PEDIDOS[[#This Row],[Vencimento(s)]],40,10)</f>
        <v/>
      </c>
      <c r="AF44" s="12" t="str">
        <f>MID(PEDIDOS[[#This Row],[Vencimento(s)]],53,10)</f>
        <v/>
      </c>
    </row>
    <row r="45" spans="1:32" x14ac:dyDescent="0.25">
      <c r="A45" s="8" t="str">
        <f>_xlfn.CONCAT("001/",PEDIDOS[[#This Row],[Nota Fiscal]])</f>
        <v>001/000023138</v>
      </c>
      <c r="B45" s="8" t="str">
        <f>_xlfn.XLOOKUP(PEDIDOS[[#This Row],[NFS]],'[1]MOVIMENTAÇÃO DE ESTOQUE'!AA:AA,'[1]MOVIMENTAÇÃO DE ESTOQUE'!A:A,"NÃO",0,1)</f>
        <v>030004008</v>
      </c>
      <c r="C45" s="9">
        <f>IFERROR(SUM(PEDIDOS[[#This Row],[PRAZO 1]:[PRAZO 6]])/COUNT(PEDIDOS[[#This Row],[PRAZO 1]:[PRAZO 6]]),"VERIFICAR")</f>
        <v>38.5</v>
      </c>
      <c r="D45" s="9">
        <f>PEDIDOS[[#This Row],[PM]]/7</f>
        <v>5.5</v>
      </c>
      <c r="E45" s="10">
        <f>IF(PEDIDOS[[#This Row],[NUM DE SEMANA]]=4,0,_xlfn.XLOOKUP(PEDIDOS[[#This Row],[NUM DE SEMANA]],'[1]SEMANAS DE PAGAMENTO'!A:A,'[1]SEMANAS DE PAGAMENTO'!B:B,"VERIFICAR",-1))</f>
        <v>-5.0000000000000001E-4</v>
      </c>
      <c r="F45" s="11">
        <f t="shared" si="2"/>
        <v>28</v>
      </c>
      <c r="G45" s="11">
        <f t="shared" si="3"/>
        <v>35</v>
      </c>
      <c r="H45" s="11">
        <f t="shared" si="3"/>
        <v>42</v>
      </c>
      <c r="I45" s="11">
        <f t="shared" si="3"/>
        <v>49</v>
      </c>
      <c r="J45" s="11" t="str">
        <f t="shared" si="3"/>
        <v/>
      </c>
      <c r="K45" s="11" t="str">
        <f t="shared" si="1"/>
        <v/>
      </c>
      <c r="L45" s="12" t="s">
        <v>228</v>
      </c>
      <c r="M45" s="12" t="s">
        <v>59</v>
      </c>
      <c r="N45" s="12" t="s">
        <v>229</v>
      </c>
      <c r="O45" s="12" t="s">
        <v>174</v>
      </c>
      <c r="P45" s="12" t="s">
        <v>74</v>
      </c>
      <c r="Q45" s="12" t="s">
        <v>159</v>
      </c>
      <c r="R45" s="13">
        <v>3043.8222698956001</v>
      </c>
      <c r="S45" s="13">
        <v>10364.14</v>
      </c>
      <c r="T45" s="13">
        <v>0</v>
      </c>
      <c r="U45" s="13">
        <v>0</v>
      </c>
      <c r="V45" s="13">
        <v>0</v>
      </c>
      <c r="W45" s="13">
        <v>0</v>
      </c>
      <c r="X45" s="12">
        <v>5</v>
      </c>
      <c r="Y45" s="12" t="s">
        <v>230</v>
      </c>
      <c r="Z45" s="12" t="s">
        <v>48</v>
      </c>
      <c r="AA45" s="12" t="s">
        <v>231</v>
      </c>
      <c r="AB45" s="14" t="str">
        <f>MID(PEDIDOS[[#This Row],[Vencimento(s)]],1,10)</f>
        <v>13/02/2026</v>
      </c>
      <c r="AC45" s="14" t="str">
        <f>MID(PEDIDOS[[#This Row],[Vencimento(s)]],14,10)</f>
        <v>20/02/2026</v>
      </c>
      <c r="AD45" s="14" t="str">
        <f>MID(PEDIDOS[[#This Row],[Vencimento(s)]],27,10)</f>
        <v>27/02/2026</v>
      </c>
      <c r="AE45" s="12" t="str">
        <f>MID(PEDIDOS[[#This Row],[Vencimento(s)]],40,10)</f>
        <v>06/03/2026</v>
      </c>
      <c r="AF45" s="12" t="str">
        <f>MID(PEDIDOS[[#This Row],[Vencimento(s)]],53,10)</f>
        <v/>
      </c>
    </row>
    <row r="46" spans="1:32" x14ac:dyDescent="0.25">
      <c r="A46" s="8" t="str">
        <f>_xlfn.CONCAT("001/",PEDIDOS[[#This Row],[Nota Fiscal]])</f>
        <v>001/000023165</v>
      </c>
      <c r="B46" s="8" t="str">
        <f>_xlfn.XLOOKUP(PEDIDOS[[#This Row],[NFS]],'[1]MOVIMENTAÇÃO DE ESTOQUE'!AA:AA,'[1]MOVIMENTAÇÃO DE ESTOQUE'!A:A,"NÃO",0,1)</f>
        <v>067004001</v>
      </c>
      <c r="C46" s="9">
        <f>IFERROR(SUM(PEDIDOS[[#This Row],[PRAZO 1]:[PRAZO 6]])/COUNT(PEDIDOS[[#This Row],[PRAZO 1]:[PRAZO 6]]),"VERIFICAR")</f>
        <v>42</v>
      </c>
      <c r="D46" s="9">
        <f>PEDIDOS[[#This Row],[PM]]/7</f>
        <v>6</v>
      </c>
      <c r="E46" s="10">
        <f>IF(PEDIDOS[[#This Row],[NUM DE SEMANA]]=4,0,_xlfn.XLOOKUP(PEDIDOS[[#This Row],[NUM DE SEMANA]],'[1]SEMANAS DE PAGAMENTO'!A:A,'[1]SEMANAS DE PAGAMENTO'!B:B,"VERIFICAR",-1))</f>
        <v>-1E-3</v>
      </c>
      <c r="F46" s="11">
        <f t="shared" si="2"/>
        <v>42</v>
      </c>
      <c r="G46" s="11" t="str">
        <f t="shared" si="3"/>
        <v/>
      </c>
      <c r="H46" s="11" t="str">
        <f t="shared" si="3"/>
        <v/>
      </c>
      <c r="I46" s="11" t="str">
        <f t="shared" si="3"/>
        <v/>
      </c>
      <c r="J46" s="11" t="str">
        <f t="shared" si="3"/>
        <v/>
      </c>
      <c r="K46" s="11" t="str">
        <f t="shared" si="1"/>
        <v/>
      </c>
      <c r="L46" s="12" t="s">
        <v>232</v>
      </c>
      <c r="M46" s="12" t="s">
        <v>35</v>
      </c>
      <c r="N46" s="12" t="s">
        <v>233</v>
      </c>
      <c r="O46" s="12" t="s">
        <v>149</v>
      </c>
      <c r="P46" s="12" t="s">
        <v>38</v>
      </c>
      <c r="Q46" s="12" t="s">
        <v>205</v>
      </c>
      <c r="R46" s="13">
        <v>24683.996999999999</v>
      </c>
      <c r="S46" s="13">
        <v>69141</v>
      </c>
      <c r="T46" s="13">
        <v>0</v>
      </c>
      <c r="U46" s="13">
        <v>0</v>
      </c>
      <c r="V46" s="13">
        <v>0</v>
      </c>
      <c r="W46" s="13">
        <v>0</v>
      </c>
      <c r="X46" s="12">
        <v>50</v>
      </c>
      <c r="Y46" s="12" t="s">
        <v>234</v>
      </c>
      <c r="Z46" s="12" t="s">
        <v>48</v>
      </c>
      <c r="AA46" s="12" t="s">
        <v>235</v>
      </c>
      <c r="AB46" s="14" t="str">
        <f>MID(PEDIDOS[[#This Row],[Vencimento(s)]],1,10)</f>
        <v>02/03/2026</v>
      </c>
      <c r="AC46" s="14" t="str">
        <f>MID(PEDIDOS[[#This Row],[Vencimento(s)]],14,10)</f>
        <v/>
      </c>
      <c r="AD46" s="14" t="str">
        <f>MID(PEDIDOS[[#This Row],[Vencimento(s)]],27,10)</f>
        <v/>
      </c>
      <c r="AE46" s="12" t="str">
        <f>MID(PEDIDOS[[#This Row],[Vencimento(s)]],40,10)</f>
        <v/>
      </c>
      <c r="AF46" s="12" t="str">
        <f>MID(PEDIDOS[[#This Row],[Vencimento(s)]],53,10)</f>
        <v/>
      </c>
    </row>
    <row r="47" spans="1:32" x14ac:dyDescent="0.25">
      <c r="A47" s="8" t="str">
        <f>_xlfn.CONCAT("001/",PEDIDOS[[#This Row],[Nota Fiscal]])</f>
        <v>001/000023047</v>
      </c>
      <c r="B47" s="8" t="str">
        <f>_xlfn.XLOOKUP(PEDIDOS[[#This Row],[NFS]],'[1]MOVIMENTAÇÃO DE ESTOQUE'!AA:AA,'[1]MOVIMENTAÇÃO DE ESTOQUE'!A:A,"NÃO",0,1)</f>
        <v>004003017</v>
      </c>
      <c r="C47" s="9">
        <f>IFERROR(SUM(PEDIDOS[[#This Row],[PRAZO 1]:[PRAZO 6]])/COUNT(PEDIDOS[[#This Row],[PRAZO 1]:[PRAZO 6]]),"VERIFICAR")</f>
        <v>28</v>
      </c>
      <c r="D47" s="9">
        <f>PEDIDOS[[#This Row],[PM]]/7</f>
        <v>4</v>
      </c>
      <c r="E47" s="10">
        <f>IF(PEDIDOS[[#This Row],[NUM DE SEMANA]]=4,0,_xlfn.XLOOKUP(PEDIDOS[[#This Row],[NUM DE SEMANA]],'[1]SEMANAS DE PAGAMENTO'!A:A,'[1]SEMANAS DE PAGAMENTO'!B:B,"VERIFICAR",-1))</f>
        <v>0</v>
      </c>
      <c r="F47" s="11">
        <f t="shared" si="2"/>
        <v>28</v>
      </c>
      <c r="G47" s="11" t="str">
        <f t="shared" si="3"/>
        <v/>
      </c>
      <c r="H47" s="11" t="str">
        <f t="shared" si="3"/>
        <v/>
      </c>
      <c r="I47" s="11" t="str">
        <f t="shared" si="3"/>
        <v/>
      </c>
      <c r="J47" s="11" t="str">
        <f t="shared" si="3"/>
        <v/>
      </c>
      <c r="K47" s="11" t="str">
        <f t="shared" si="1"/>
        <v/>
      </c>
      <c r="L47" s="12" t="s">
        <v>236</v>
      </c>
      <c r="M47" s="12" t="s">
        <v>35</v>
      </c>
      <c r="N47" s="12" t="s">
        <v>237</v>
      </c>
      <c r="O47" s="12" t="s">
        <v>238</v>
      </c>
      <c r="P47" s="12" t="s">
        <v>54</v>
      </c>
      <c r="Q47" s="12" t="s">
        <v>86</v>
      </c>
      <c r="R47" s="13">
        <v>265.322</v>
      </c>
      <c r="S47" s="13">
        <v>538.6</v>
      </c>
      <c r="T47" s="13">
        <v>0</v>
      </c>
      <c r="U47" s="13">
        <v>0</v>
      </c>
      <c r="V47" s="13">
        <v>0</v>
      </c>
      <c r="W47" s="13">
        <v>0</v>
      </c>
      <c r="X47" s="12">
        <v>1</v>
      </c>
      <c r="Y47" s="12" t="s">
        <v>239</v>
      </c>
      <c r="Z47" s="12" t="s">
        <v>48</v>
      </c>
      <c r="AA47" s="12" t="s">
        <v>240</v>
      </c>
      <c r="AB47" s="14" t="str">
        <f>MID(PEDIDOS[[#This Row],[Vencimento(s)]],1,10)</f>
        <v>06/02/2026</v>
      </c>
      <c r="AC47" s="14" t="str">
        <f>MID(PEDIDOS[[#This Row],[Vencimento(s)]],14,10)</f>
        <v/>
      </c>
      <c r="AD47" s="14" t="str">
        <f>MID(PEDIDOS[[#This Row],[Vencimento(s)]],27,10)</f>
        <v/>
      </c>
      <c r="AE47" s="12" t="str">
        <f>MID(PEDIDOS[[#This Row],[Vencimento(s)]],40,10)</f>
        <v/>
      </c>
      <c r="AF47" s="12" t="str">
        <f>MID(PEDIDOS[[#This Row],[Vencimento(s)]],53,10)</f>
        <v/>
      </c>
    </row>
    <row r="48" spans="1:32" x14ac:dyDescent="0.25">
      <c r="A48" s="8" t="str">
        <f>_xlfn.CONCAT("001/",PEDIDOS[[#This Row],[Nota Fiscal]])</f>
        <v>001/000023053</v>
      </c>
      <c r="B48" s="8" t="str">
        <f>_xlfn.XLOOKUP(PEDIDOS[[#This Row],[NFS]],'[1]MOVIMENTAÇÃO DE ESTOQUE'!AA:AA,'[1]MOVIMENTAÇÃO DE ESTOQUE'!A:A,"NÃO",0,1)</f>
        <v>067004017</v>
      </c>
      <c r="C48" s="9">
        <f>IFERROR(SUM(PEDIDOS[[#This Row],[PRAZO 1]:[PRAZO 6]])/COUNT(PEDIDOS[[#This Row],[PRAZO 1]:[PRAZO 6]]),"VERIFICAR")</f>
        <v>14</v>
      </c>
      <c r="D48" s="9">
        <f>PEDIDOS[[#This Row],[PM]]/7</f>
        <v>2</v>
      </c>
      <c r="E48" s="10">
        <f>IF(PEDIDOS[[#This Row],[NUM DE SEMANA]]=4,0,_xlfn.XLOOKUP(PEDIDOS[[#This Row],[NUM DE SEMANA]],'[1]SEMANAS DE PAGAMENTO'!A:A,'[1]SEMANAS DE PAGAMENTO'!B:B,"VERIFICAR",-1))</f>
        <v>1.5E-3</v>
      </c>
      <c r="F48" s="11">
        <f t="shared" si="2"/>
        <v>14</v>
      </c>
      <c r="G48" s="11" t="str">
        <f t="shared" si="3"/>
        <v/>
      </c>
      <c r="H48" s="11" t="str">
        <f t="shared" si="3"/>
        <v/>
      </c>
      <c r="I48" s="11" t="str">
        <f t="shared" si="3"/>
        <v/>
      </c>
      <c r="J48" s="11" t="str">
        <f t="shared" si="3"/>
        <v/>
      </c>
      <c r="K48" s="11" t="str">
        <f t="shared" si="1"/>
        <v/>
      </c>
      <c r="L48" s="12" t="s">
        <v>241</v>
      </c>
      <c r="M48" s="12" t="s">
        <v>35</v>
      </c>
      <c r="N48" s="12" t="s">
        <v>242</v>
      </c>
      <c r="O48" s="12" t="s">
        <v>238</v>
      </c>
      <c r="P48" s="12" t="s">
        <v>54</v>
      </c>
      <c r="Q48" s="12" t="s">
        <v>243</v>
      </c>
      <c r="R48" s="13">
        <v>586.0992</v>
      </c>
      <c r="S48" s="13">
        <v>2052.06</v>
      </c>
      <c r="T48" s="13">
        <v>0</v>
      </c>
      <c r="U48" s="13">
        <v>0</v>
      </c>
      <c r="V48" s="13">
        <v>0</v>
      </c>
      <c r="W48" s="13">
        <v>0</v>
      </c>
      <c r="X48" s="12">
        <v>6</v>
      </c>
      <c r="Y48" s="12" t="s">
        <v>63</v>
      </c>
      <c r="Z48" s="12" t="s">
        <v>48</v>
      </c>
      <c r="AA48" s="12" t="s">
        <v>73</v>
      </c>
      <c r="AB48" s="14" t="str">
        <f>MID(PEDIDOS[[#This Row],[Vencimento(s)]],1,10)</f>
        <v>23/01/2026</v>
      </c>
      <c r="AC48" s="14" t="str">
        <f>MID(PEDIDOS[[#This Row],[Vencimento(s)]],14,10)</f>
        <v/>
      </c>
      <c r="AD48" s="14" t="str">
        <f>MID(PEDIDOS[[#This Row],[Vencimento(s)]],27,10)</f>
        <v/>
      </c>
      <c r="AE48" s="12" t="str">
        <f>MID(PEDIDOS[[#This Row],[Vencimento(s)]],40,10)</f>
        <v/>
      </c>
      <c r="AF48" s="12" t="str">
        <f>MID(PEDIDOS[[#This Row],[Vencimento(s)]],53,10)</f>
        <v/>
      </c>
    </row>
    <row r="49" spans="1:32" x14ac:dyDescent="0.25">
      <c r="A49" s="8" t="str">
        <f>_xlfn.CONCAT("001/",PEDIDOS[[#This Row],[Nota Fiscal]])</f>
        <v>001/000023055</v>
      </c>
      <c r="B49" s="8" t="str">
        <f>_xlfn.XLOOKUP(PEDIDOS[[#This Row],[NFS]],'[1]MOVIMENTAÇÃO DE ESTOQUE'!AA:AA,'[1]MOVIMENTAÇÃO DE ESTOQUE'!A:A,"NÃO",0,1)</f>
        <v>061004004</v>
      </c>
      <c r="C49" s="9">
        <f>IFERROR(SUM(PEDIDOS[[#This Row],[PRAZO 1]:[PRAZO 6]])/COUNT(PEDIDOS[[#This Row],[PRAZO 1]:[PRAZO 6]]),"VERIFICAR")</f>
        <v>17.5</v>
      </c>
      <c r="D49" s="9">
        <f>PEDIDOS[[#This Row],[PM]]/7</f>
        <v>2.5</v>
      </c>
      <c r="E49" s="10">
        <f>IF(PEDIDOS[[#This Row],[NUM DE SEMANA]]=4,0,_xlfn.XLOOKUP(PEDIDOS[[#This Row],[NUM DE SEMANA]],'[1]SEMANAS DE PAGAMENTO'!A:A,'[1]SEMANAS DE PAGAMENTO'!B:B,"VERIFICAR",-1))</f>
        <v>1.5E-3</v>
      </c>
      <c r="F49" s="11">
        <f t="shared" si="2"/>
        <v>14</v>
      </c>
      <c r="G49" s="11">
        <f t="shared" si="3"/>
        <v>21</v>
      </c>
      <c r="H49" s="11" t="str">
        <f t="shared" si="3"/>
        <v/>
      </c>
      <c r="I49" s="11" t="str">
        <f t="shared" si="3"/>
        <v/>
      </c>
      <c r="J49" s="11" t="str">
        <f t="shared" si="3"/>
        <v/>
      </c>
      <c r="K49" s="11" t="str">
        <f t="shared" si="1"/>
        <v/>
      </c>
      <c r="L49" s="12" t="s">
        <v>244</v>
      </c>
      <c r="M49" s="12" t="s">
        <v>35</v>
      </c>
      <c r="N49" s="12" t="s">
        <v>245</v>
      </c>
      <c r="O49" s="12" t="s">
        <v>238</v>
      </c>
      <c r="P49" s="12" t="s">
        <v>74</v>
      </c>
      <c r="Q49" s="12" t="s">
        <v>246</v>
      </c>
      <c r="R49" s="13">
        <v>131.81170212809999</v>
      </c>
      <c r="S49" s="13">
        <v>1390.68</v>
      </c>
      <c r="T49" s="13">
        <v>0</v>
      </c>
      <c r="U49" s="13">
        <v>0</v>
      </c>
      <c r="V49" s="13">
        <v>0</v>
      </c>
      <c r="W49" s="13">
        <v>0</v>
      </c>
      <c r="X49" s="12">
        <v>9</v>
      </c>
      <c r="Y49" s="12" t="s">
        <v>63</v>
      </c>
      <c r="Z49" s="12" t="s">
        <v>48</v>
      </c>
      <c r="AA49" s="12" t="s">
        <v>247</v>
      </c>
      <c r="AB49" s="14" t="str">
        <f>MID(PEDIDOS[[#This Row],[Vencimento(s)]],1,10)</f>
        <v>23/01/2026</v>
      </c>
      <c r="AC49" s="14" t="str">
        <f>MID(PEDIDOS[[#This Row],[Vencimento(s)]],14,10)</f>
        <v>30/01/2026</v>
      </c>
      <c r="AD49" s="14" t="str">
        <f>MID(PEDIDOS[[#This Row],[Vencimento(s)]],27,10)</f>
        <v/>
      </c>
      <c r="AE49" s="12" t="str">
        <f>MID(PEDIDOS[[#This Row],[Vencimento(s)]],40,10)</f>
        <v/>
      </c>
      <c r="AF49" s="12" t="str">
        <f>MID(PEDIDOS[[#This Row],[Vencimento(s)]],53,10)</f>
        <v/>
      </c>
    </row>
    <row r="50" spans="1:32" x14ac:dyDescent="0.25">
      <c r="A50" s="8" t="str">
        <f>_xlfn.CONCAT("001/",PEDIDOS[[#This Row],[Nota Fiscal]])</f>
        <v>001/000023199</v>
      </c>
      <c r="B50" s="8" t="str">
        <f>_xlfn.XLOOKUP(PEDIDOS[[#This Row],[NFS]],'[1]MOVIMENTAÇÃO DE ESTOQUE'!AA:AA,'[1]MOVIMENTAÇÃO DE ESTOQUE'!A:A,"NÃO",0,1)</f>
        <v>072004003</v>
      </c>
      <c r="C50" s="9">
        <f>IFERROR(SUM(PEDIDOS[[#This Row],[PRAZO 1]:[PRAZO 6]])/COUNT(PEDIDOS[[#This Row],[PRAZO 1]:[PRAZO 6]]),"VERIFICAR")</f>
        <v>0</v>
      </c>
      <c r="D50" s="9">
        <f>PEDIDOS[[#This Row],[PM]]/7</f>
        <v>0</v>
      </c>
      <c r="E50" s="10">
        <f>IF(PEDIDOS[[#This Row],[NUM DE SEMANA]]=4,0,_xlfn.XLOOKUP(PEDIDOS[[#This Row],[NUM DE SEMANA]],'[1]SEMANAS DE PAGAMENTO'!A:A,'[1]SEMANAS DE PAGAMENTO'!B:B,"VERIFICAR",-1))</f>
        <v>2E-3</v>
      </c>
      <c r="F50" s="11">
        <f t="shared" si="2"/>
        <v>0</v>
      </c>
      <c r="G50" s="11" t="str">
        <f t="shared" si="3"/>
        <v/>
      </c>
      <c r="H50" s="11" t="str">
        <f t="shared" si="3"/>
        <v/>
      </c>
      <c r="I50" s="11" t="str">
        <f t="shared" si="3"/>
        <v/>
      </c>
      <c r="J50" s="11" t="str">
        <f t="shared" si="3"/>
        <v/>
      </c>
      <c r="K50" s="11" t="str">
        <f t="shared" si="1"/>
        <v/>
      </c>
      <c r="L50" s="12" t="s">
        <v>248</v>
      </c>
      <c r="M50" s="12" t="s">
        <v>59</v>
      </c>
      <c r="N50" s="12" t="s">
        <v>249</v>
      </c>
      <c r="O50" s="12" t="s">
        <v>168</v>
      </c>
      <c r="P50" s="12" t="s">
        <v>45</v>
      </c>
      <c r="Q50" s="12" t="s">
        <v>250</v>
      </c>
      <c r="R50" s="13">
        <v>22.419750000000001</v>
      </c>
      <c r="S50" s="13">
        <v>158.94999999999999</v>
      </c>
      <c r="T50" s="13">
        <v>0</v>
      </c>
      <c r="U50" s="13">
        <v>0</v>
      </c>
      <c r="V50" s="13">
        <v>0</v>
      </c>
      <c r="W50" s="13">
        <v>0</v>
      </c>
      <c r="X50" s="12">
        <v>1</v>
      </c>
      <c r="Y50" s="12" t="s">
        <v>251</v>
      </c>
      <c r="Z50" s="12" t="s">
        <v>41</v>
      </c>
      <c r="AA50" s="12" t="s">
        <v>168</v>
      </c>
      <c r="AB50" s="14" t="str">
        <f>MID(PEDIDOS[[#This Row],[Vencimento(s)]],1,10)</f>
        <v>21/01/2026</v>
      </c>
      <c r="AC50" s="14" t="str">
        <f>MID(PEDIDOS[[#This Row],[Vencimento(s)]],14,10)</f>
        <v/>
      </c>
      <c r="AD50" s="14" t="str">
        <f>MID(PEDIDOS[[#This Row],[Vencimento(s)]],27,10)</f>
        <v/>
      </c>
      <c r="AE50" s="12" t="str">
        <f>MID(PEDIDOS[[#This Row],[Vencimento(s)]],40,10)</f>
        <v/>
      </c>
      <c r="AF50" s="12" t="str">
        <f>MID(PEDIDOS[[#This Row],[Vencimento(s)]],53,10)</f>
        <v/>
      </c>
    </row>
    <row r="51" spans="1:32" x14ac:dyDescent="0.25">
      <c r="A51" s="8" t="str">
        <f>_xlfn.CONCAT("001/",PEDIDOS[[#This Row],[Nota Fiscal]])</f>
        <v>001/000023109</v>
      </c>
      <c r="B51" s="8" t="str">
        <f>_xlfn.XLOOKUP(PEDIDOS[[#This Row],[NFS]],'[1]MOVIMENTAÇÃO DE ESTOQUE'!AA:AA,'[1]MOVIMENTAÇÃO DE ESTOQUE'!A:A,"NÃO",0,1)</f>
        <v>001004129</v>
      </c>
      <c r="C51" s="9">
        <f>IFERROR(SUM(PEDIDOS[[#This Row],[PRAZO 1]:[PRAZO 6]])/COUNT(PEDIDOS[[#This Row],[PRAZO 1]:[PRAZO 6]]),"VERIFICAR")</f>
        <v>28</v>
      </c>
      <c r="D51" s="9">
        <f>PEDIDOS[[#This Row],[PM]]/7</f>
        <v>4</v>
      </c>
      <c r="E51" s="10">
        <f>IF(PEDIDOS[[#This Row],[NUM DE SEMANA]]=4,0,_xlfn.XLOOKUP(PEDIDOS[[#This Row],[NUM DE SEMANA]],'[1]SEMANAS DE PAGAMENTO'!A:A,'[1]SEMANAS DE PAGAMENTO'!B:B,"VERIFICAR",-1))</f>
        <v>0</v>
      </c>
      <c r="F51" s="11">
        <f t="shared" si="2"/>
        <v>28</v>
      </c>
      <c r="G51" s="11" t="str">
        <f t="shared" si="3"/>
        <v/>
      </c>
      <c r="H51" s="11" t="str">
        <f t="shared" si="3"/>
        <v/>
      </c>
      <c r="I51" s="11" t="str">
        <f t="shared" si="3"/>
        <v/>
      </c>
      <c r="J51" s="11" t="str">
        <f t="shared" si="3"/>
        <v/>
      </c>
      <c r="K51" s="11" t="str">
        <f t="shared" si="1"/>
        <v/>
      </c>
      <c r="L51" s="12" t="s">
        <v>252</v>
      </c>
      <c r="M51" s="12" t="s">
        <v>59</v>
      </c>
      <c r="N51" s="12" t="s">
        <v>253</v>
      </c>
      <c r="O51" s="12" t="s">
        <v>190</v>
      </c>
      <c r="P51" s="12" t="s">
        <v>61</v>
      </c>
      <c r="Q51" s="12" t="s">
        <v>254</v>
      </c>
      <c r="R51" s="13">
        <v>4315.2129406204003</v>
      </c>
      <c r="S51" s="13">
        <v>8526.52</v>
      </c>
      <c r="T51" s="13">
        <v>0</v>
      </c>
      <c r="U51" s="13">
        <v>0</v>
      </c>
      <c r="V51" s="13">
        <v>0</v>
      </c>
      <c r="W51" s="13">
        <v>0</v>
      </c>
      <c r="X51" s="12">
        <v>4</v>
      </c>
      <c r="Y51" s="12" t="s">
        <v>255</v>
      </c>
      <c r="Z51" s="12" t="s">
        <v>48</v>
      </c>
      <c r="AA51" s="12" t="s">
        <v>192</v>
      </c>
      <c r="AB51" s="14" t="str">
        <f>MID(PEDIDOS[[#This Row],[Vencimento(s)]],1,10)</f>
        <v>12/02/2026</v>
      </c>
      <c r="AC51" s="14" t="str">
        <f>MID(PEDIDOS[[#This Row],[Vencimento(s)]],14,10)</f>
        <v/>
      </c>
      <c r="AD51" s="14" t="str">
        <f>MID(PEDIDOS[[#This Row],[Vencimento(s)]],27,10)</f>
        <v/>
      </c>
      <c r="AE51" s="12" t="str">
        <f>MID(PEDIDOS[[#This Row],[Vencimento(s)]],40,10)</f>
        <v/>
      </c>
      <c r="AF51" s="12" t="str">
        <f>MID(PEDIDOS[[#This Row],[Vencimento(s)]],53,10)</f>
        <v/>
      </c>
    </row>
    <row r="52" spans="1:32" x14ac:dyDescent="0.25">
      <c r="A52" s="8" t="str">
        <f>_xlfn.CONCAT("001/",PEDIDOS[[#This Row],[Nota Fiscal]])</f>
        <v>001/000023017</v>
      </c>
      <c r="B52" s="8" t="str">
        <f>_xlfn.XLOOKUP(PEDIDOS[[#This Row],[NFS]],'[1]MOVIMENTAÇÃO DE ESTOQUE'!AA:AA,'[1]MOVIMENTAÇÃO DE ESTOQUE'!A:A,"NÃO",0,1)</f>
        <v>067004010</v>
      </c>
      <c r="C52" s="9">
        <f>IFERROR(SUM(PEDIDOS[[#This Row],[PRAZO 1]:[PRAZO 6]])/COUNT(PEDIDOS[[#This Row],[PRAZO 1]:[PRAZO 6]]),"VERIFICAR")</f>
        <v>30.5</v>
      </c>
      <c r="D52" s="9">
        <f>PEDIDOS[[#This Row],[PM]]/7</f>
        <v>4.3571428571428568</v>
      </c>
      <c r="E52" s="10">
        <f>IF(PEDIDOS[[#This Row],[NUM DE SEMANA]]=4,0,_xlfn.XLOOKUP(PEDIDOS[[#This Row],[NUM DE SEMANA]],'[1]SEMANAS DE PAGAMENTO'!A:A,'[1]SEMANAS DE PAGAMENTO'!B:B,"VERIFICAR",-1))</f>
        <v>5.0000000000000001E-4</v>
      </c>
      <c r="F52" s="11">
        <f t="shared" si="2"/>
        <v>27</v>
      </c>
      <c r="G52" s="11">
        <f t="shared" si="3"/>
        <v>34</v>
      </c>
      <c r="H52" s="11" t="str">
        <f t="shared" si="3"/>
        <v/>
      </c>
      <c r="I52" s="11" t="str">
        <f t="shared" si="3"/>
        <v/>
      </c>
      <c r="J52" s="11" t="str">
        <f t="shared" si="3"/>
        <v/>
      </c>
      <c r="K52" s="11" t="str">
        <f t="shared" si="1"/>
        <v/>
      </c>
      <c r="L52" s="12" t="s">
        <v>256</v>
      </c>
      <c r="M52" s="12" t="s">
        <v>35</v>
      </c>
      <c r="N52" s="12" t="s">
        <v>257</v>
      </c>
      <c r="O52" s="12" t="s">
        <v>258</v>
      </c>
      <c r="P52" s="12" t="s">
        <v>61</v>
      </c>
      <c r="Q52" s="12" t="s">
        <v>78</v>
      </c>
      <c r="R52" s="13">
        <v>666.73335592169997</v>
      </c>
      <c r="S52" s="13">
        <v>2347.2199999999998</v>
      </c>
      <c r="T52" s="13">
        <v>0</v>
      </c>
      <c r="U52" s="13">
        <v>0</v>
      </c>
      <c r="V52" s="13">
        <v>0</v>
      </c>
      <c r="W52" s="13">
        <v>0</v>
      </c>
      <c r="X52" s="12">
        <v>1</v>
      </c>
      <c r="Y52" s="12" t="s">
        <v>63</v>
      </c>
      <c r="Z52" s="12" t="s">
        <v>48</v>
      </c>
      <c r="AA52" s="12" t="s">
        <v>259</v>
      </c>
      <c r="AB52" s="14" t="str">
        <f>MID(PEDIDOS[[#This Row],[Vencimento(s)]],1,10)</f>
        <v>03/02/2026</v>
      </c>
      <c r="AC52" s="14" t="str">
        <f>MID(PEDIDOS[[#This Row],[Vencimento(s)]],14,10)</f>
        <v>10/02/2026</v>
      </c>
      <c r="AD52" s="14" t="str">
        <f>MID(PEDIDOS[[#This Row],[Vencimento(s)]],27,10)</f>
        <v/>
      </c>
      <c r="AE52" s="12" t="str">
        <f>MID(PEDIDOS[[#This Row],[Vencimento(s)]],40,10)</f>
        <v/>
      </c>
      <c r="AF52" s="12" t="str">
        <f>MID(PEDIDOS[[#This Row],[Vencimento(s)]],53,10)</f>
        <v/>
      </c>
    </row>
    <row r="53" spans="1:32" x14ac:dyDescent="0.25">
      <c r="A53" s="8" t="str">
        <f>_xlfn.CONCAT("001/",PEDIDOS[[#This Row],[Nota Fiscal]])</f>
        <v>001/000023027</v>
      </c>
      <c r="B53" s="8" t="str">
        <f>_xlfn.XLOOKUP(PEDIDOS[[#This Row],[NFS]],'[1]MOVIMENTAÇÃO DE ESTOQUE'!AA:AA,'[1]MOVIMENTAÇÃO DE ESTOQUE'!A:A,"NÃO",0,1)</f>
        <v>001004001</v>
      </c>
      <c r="C53" s="9">
        <f>IFERROR(SUM(PEDIDOS[[#This Row],[PRAZO 1]:[PRAZO 6]])/COUNT(PEDIDOS[[#This Row],[PRAZO 1]:[PRAZO 6]]),"VERIFICAR")</f>
        <v>38.5</v>
      </c>
      <c r="D53" s="9">
        <f>PEDIDOS[[#This Row],[PM]]/7</f>
        <v>5.5</v>
      </c>
      <c r="E53" s="10">
        <f>IF(PEDIDOS[[#This Row],[NUM DE SEMANA]]=4,0,_xlfn.XLOOKUP(PEDIDOS[[#This Row],[NUM DE SEMANA]],'[1]SEMANAS DE PAGAMENTO'!A:A,'[1]SEMANAS DE PAGAMENTO'!B:B,"VERIFICAR",-1))</f>
        <v>-5.0000000000000001E-4</v>
      </c>
      <c r="F53" s="11">
        <f t="shared" si="2"/>
        <v>28</v>
      </c>
      <c r="G53" s="11">
        <f t="shared" si="3"/>
        <v>35</v>
      </c>
      <c r="H53" s="11">
        <f t="shared" si="3"/>
        <v>42</v>
      </c>
      <c r="I53" s="11">
        <f t="shared" si="3"/>
        <v>49</v>
      </c>
      <c r="J53" s="11" t="str">
        <f t="shared" si="3"/>
        <v/>
      </c>
      <c r="K53" s="11" t="str">
        <f t="shared" si="1"/>
        <v/>
      </c>
      <c r="L53" s="12" t="s">
        <v>260</v>
      </c>
      <c r="M53" s="12" t="s">
        <v>35</v>
      </c>
      <c r="N53" s="12" t="s">
        <v>261</v>
      </c>
      <c r="O53" s="12" t="s">
        <v>258</v>
      </c>
      <c r="P53" s="12" t="s">
        <v>38</v>
      </c>
      <c r="Q53" s="12" t="s">
        <v>39</v>
      </c>
      <c r="R53" s="13">
        <v>11021.441421702901</v>
      </c>
      <c r="S53" s="13">
        <v>56386.74</v>
      </c>
      <c r="T53" s="13">
        <v>0</v>
      </c>
      <c r="U53" s="13">
        <v>0</v>
      </c>
      <c r="V53" s="13">
        <v>0</v>
      </c>
      <c r="W53" s="13">
        <v>0</v>
      </c>
      <c r="X53" s="12">
        <v>36</v>
      </c>
      <c r="Y53" s="12" t="s">
        <v>40</v>
      </c>
      <c r="Z53" s="12" t="s">
        <v>41</v>
      </c>
      <c r="AA53" s="12" t="s">
        <v>262</v>
      </c>
      <c r="AB53" s="14" t="str">
        <f>MID(PEDIDOS[[#This Row],[Vencimento(s)]],1,10)</f>
        <v>04/02/2026</v>
      </c>
      <c r="AC53" s="14" t="str">
        <f>MID(PEDIDOS[[#This Row],[Vencimento(s)]],14,10)</f>
        <v>11/02/2026</v>
      </c>
      <c r="AD53" s="14" t="str">
        <f>MID(PEDIDOS[[#This Row],[Vencimento(s)]],27,10)</f>
        <v>18/02/2026</v>
      </c>
      <c r="AE53" s="12" t="str">
        <f>MID(PEDIDOS[[#This Row],[Vencimento(s)]],40,10)</f>
        <v>25/02/2026</v>
      </c>
      <c r="AF53" s="12" t="str">
        <f>MID(PEDIDOS[[#This Row],[Vencimento(s)]],53,10)</f>
        <v/>
      </c>
    </row>
    <row r="54" spans="1:32" x14ac:dyDescent="0.25">
      <c r="A54" s="8" t="str">
        <f>_xlfn.CONCAT("001/",PEDIDOS[[#This Row],[Nota Fiscal]])</f>
        <v>001/000023034</v>
      </c>
      <c r="B54" s="8" t="str">
        <f>_xlfn.XLOOKUP(PEDIDOS[[#This Row],[NFS]],'[1]MOVIMENTAÇÃO DE ESTOQUE'!AA:AA,'[1]MOVIMENTAÇÃO DE ESTOQUE'!A:A,"NÃO",0,1)</f>
        <v>001004079</v>
      </c>
      <c r="C54" s="9">
        <f>IFERROR(SUM(PEDIDOS[[#This Row],[PRAZO 1]:[PRAZO 6]])/COUNT(PEDIDOS[[#This Row],[PRAZO 1]:[PRAZO 6]]),"VERIFICAR")</f>
        <v>0</v>
      </c>
      <c r="D54" s="9">
        <f>PEDIDOS[[#This Row],[PM]]/7</f>
        <v>0</v>
      </c>
      <c r="E54" s="10">
        <f>IF(PEDIDOS[[#This Row],[NUM DE SEMANA]]=4,0,_xlfn.XLOOKUP(PEDIDOS[[#This Row],[NUM DE SEMANA]],'[1]SEMANAS DE PAGAMENTO'!A:A,'[1]SEMANAS DE PAGAMENTO'!B:B,"VERIFICAR",-1))</f>
        <v>2E-3</v>
      </c>
      <c r="F54" s="11">
        <f t="shared" si="2"/>
        <v>0</v>
      </c>
      <c r="G54" s="11" t="str">
        <f t="shared" si="3"/>
        <v/>
      </c>
      <c r="H54" s="11" t="str">
        <f t="shared" si="3"/>
        <v/>
      </c>
      <c r="I54" s="11" t="str">
        <f t="shared" si="3"/>
        <v/>
      </c>
      <c r="J54" s="11" t="str">
        <f t="shared" si="3"/>
        <v/>
      </c>
      <c r="K54" s="11" t="str">
        <f t="shared" si="1"/>
        <v/>
      </c>
      <c r="L54" s="12" t="s">
        <v>263</v>
      </c>
      <c r="M54" s="12" t="s">
        <v>59</v>
      </c>
      <c r="N54" s="12" t="s">
        <v>264</v>
      </c>
      <c r="O54" s="12" t="s">
        <v>265</v>
      </c>
      <c r="P54" s="12" t="s">
        <v>74</v>
      </c>
      <c r="Q54" s="12" t="s">
        <v>75</v>
      </c>
      <c r="R54" s="13">
        <v>309.56927233829998</v>
      </c>
      <c r="S54" s="13">
        <v>1235.01</v>
      </c>
      <c r="T54" s="13">
        <v>0</v>
      </c>
      <c r="U54" s="13">
        <v>0</v>
      </c>
      <c r="V54" s="13">
        <v>0</v>
      </c>
      <c r="W54" s="13">
        <v>0</v>
      </c>
      <c r="X54" s="12">
        <v>1</v>
      </c>
      <c r="Y54" s="12" t="s">
        <v>63</v>
      </c>
      <c r="Z54" s="12" t="s">
        <v>41</v>
      </c>
      <c r="AA54" s="12" t="s">
        <v>265</v>
      </c>
      <c r="AB54" s="14" t="str">
        <f>MID(PEDIDOS[[#This Row],[Vencimento(s)]],1,10)</f>
        <v>08/01/2026</v>
      </c>
      <c r="AC54" s="14" t="str">
        <f>MID(PEDIDOS[[#This Row],[Vencimento(s)]],14,10)</f>
        <v/>
      </c>
      <c r="AD54" s="14" t="str">
        <f>MID(PEDIDOS[[#This Row],[Vencimento(s)]],27,10)</f>
        <v/>
      </c>
      <c r="AE54" s="12" t="str">
        <f>MID(PEDIDOS[[#This Row],[Vencimento(s)]],40,10)</f>
        <v/>
      </c>
      <c r="AF54" s="12" t="str">
        <f>MID(PEDIDOS[[#This Row],[Vencimento(s)]],53,10)</f>
        <v/>
      </c>
    </row>
    <row r="55" spans="1:32" x14ac:dyDescent="0.25">
      <c r="A55" s="8" t="str">
        <f>_xlfn.CONCAT("001/",PEDIDOS[[#This Row],[Nota Fiscal]])</f>
        <v>001/000023066</v>
      </c>
      <c r="B55" s="8" t="str">
        <f>_xlfn.XLOOKUP(PEDIDOS[[#This Row],[NFS]],'[1]MOVIMENTAÇÃO DE ESTOQUE'!AA:AA,'[1]MOVIMENTAÇÃO DE ESTOQUE'!A:A,"NÃO",0,1)</f>
        <v>025004001</v>
      </c>
      <c r="C55" s="9">
        <f>IFERROR(SUM(PEDIDOS[[#This Row],[PRAZO 1]:[PRAZO 6]])/COUNT(PEDIDOS[[#This Row],[PRAZO 1]:[PRAZO 6]]),"VERIFICAR")</f>
        <v>0</v>
      </c>
      <c r="D55" s="9">
        <f>PEDIDOS[[#This Row],[PM]]/7</f>
        <v>0</v>
      </c>
      <c r="E55" s="10">
        <f>IF(PEDIDOS[[#This Row],[NUM DE SEMANA]]=4,0,_xlfn.XLOOKUP(PEDIDOS[[#This Row],[NUM DE SEMANA]],'[1]SEMANAS DE PAGAMENTO'!A:A,'[1]SEMANAS DE PAGAMENTO'!B:B,"VERIFICAR",-1))</f>
        <v>2E-3</v>
      </c>
      <c r="F55" s="11">
        <f t="shared" si="2"/>
        <v>0</v>
      </c>
      <c r="G55" s="11" t="str">
        <f t="shared" si="3"/>
        <v/>
      </c>
      <c r="H55" s="11" t="str">
        <f t="shared" si="3"/>
        <v/>
      </c>
      <c r="I55" s="11" t="str">
        <f t="shared" si="3"/>
        <v/>
      </c>
      <c r="J55" s="11" t="str">
        <f t="shared" si="3"/>
        <v/>
      </c>
      <c r="K55" s="11" t="str">
        <f t="shared" si="1"/>
        <v/>
      </c>
      <c r="L55" s="12" t="s">
        <v>266</v>
      </c>
      <c r="M55" s="12" t="s">
        <v>59</v>
      </c>
      <c r="N55" s="12" t="s">
        <v>267</v>
      </c>
      <c r="O55" s="12" t="s">
        <v>268</v>
      </c>
      <c r="P55" s="12" t="s">
        <v>45</v>
      </c>
      <c r="Q55" s="12" t="s">
        <v>269</v>
      </c>
      <c r="R55" s="13">
        <v>667.34041666663995</v>
      </c>
      <c r="S55" s="13">
        <v>1137.94</v>
      </c>
      <c r="T55" s="13">
        <v>0</v>
      </c>
      <c r="U55" s="13">
        <v>0</v>
      </c>
      <c r="V55" s="13">
        <v>0</v>
      </c>
      <c r="W55" s="13">
        <v>0</v>
      </c>
      <c r="X55" s="12">
        <v>0.8</v>
      </c>
      <c r="Y55" s="12" t="s">
        <v>63</v>
      </c>
      <c r="Z55" s="12" t="s">
        <v>41</v>
      </c>
      <c r="AA55" s="12" t="s">
        <v>268</v>
      </c>
      <c r="AB55" s="14" t="str">
        <f>MID(PEDIDOS[[#This Row],[Vencimento(s)]],1,10)</f>
        <v>12/01/2026</v>
      </c>
      <c r="AC55" s="14" t="str">
        <f>MID(PEDIDOS[[#This Row],[Vencimento(s)]],14,10)</f>
        <v/>
      </c>
      <c r="AD55" s="14" t="str">
        <f>MID(PEDIDOS[[#This Row],[Vencimento(s)]],27,10)</f>
        <v/>
      </c>
      <c r="AE55" s="12" t="str">
        <f>MID(PEDIDOS[[#This Row],[Vencimento(s)]],40,10)</f>
        <v/>
      </c>
      <c r="AF55" s="12" t="str">
        <f>MID(PEDIDOS[[#This Row],[Vencimento(s)]],53,10)</f>
        <v/>
      </c>
    </row>
    <row r="56" spans="1:32" x14ac:dyDescent="0.25">
      <c r="A56" s="8" t="str">
        <f>_xlfn.CONCAT("001/",PEDIDOS[[#This Row],[Nota Fiscal]])</f>
        <v>001/000023028</v>
      </c>
      <c r="B56" s="8" t="str">
        <f>_xlfn.XLOOKUP(PEDIDOS[[#This Row],[NFS]],'[1]MOVIMENTAÇÃO DE ESTOQUE'!AA:AA,'[1]MOVIMENTAÇÃO DE ESTOQUE'!A:A,"NÃO",0,1)</f>
        <v>026005059</v>
      </c>
      <c r="C56" s="9">
        <f>IFERROR(SUM(PEDIDOS[[#This Row],[PRAZO 1]:[PRAZO 6]])/COUNT(PEDIDOS[[#This Row],[PRAZO 1]:[PRAZO 6]]),"VERIFICAR")</f>
        <v>21</v>
      </c>
      <c r="D56" s="9">
        <f>PEDIDOS[[#This Row],[PM]]/7</f>
        <v>3</v>
      </c>
      <c r="E56" s="10">
        <f>IF(PEDIDOS[[#This Row],[NUM DE SEMANA]]=4,0,_xlfn.XLOOKUP(PEDIDOS[[#This Row],[NUM DE SEMANA]],'[1]SEMANAS DE PAGAMENTO'!A:A,'[1]SEMANAS DE PAGAMENTO'!B:B,"VERIFICAR",-1))</f>
        <v>1E-3</v>
      </c>
      <c r="F56" s="11">
        <f t="shared" si="2"/>
        <v>21</v>
      </c>
      <c r="G56" s="11" t="str">
        <f t="shared" si="3"/>
        <v/>
      </c>
      <c r="H56" s="11" t="str">
        <f t="shared" si="3"/>
        <v/>
      </c>
      <c r="I56" s="11" t="str">
        <f t="shared" si="3"/>
        <v/>
      </c>
      <c r="J56" s="11" t="str">
        <f t="shared" si="3"/>
        <v/>
      </c>
      <c r="K56" s="11" t="str">
        <f t="shared" si="1"/>
        <v/>
      </c>
      <c r="L56" s="12" t="s">
        <v>270</v>
      </c>
      <c r="M56" s="12" t="s">
        <v>166</v>
      </c>
      <c r="N56" s="12" t="s">
        <v>271</v>
      </c>
      <c r="O56" s="12" t="s">
        <v>258</v>
      </c>
      <c r="P56" s="12" t="s">
        <v>74</v>
      </c>
      <c r="Q56" s="12" t="s">
        <v>272</v>
      </c>
      <c r="R56" s="13">
        <v>137.69</v>
      </c>
      <c r="S56" s="13">
        <v>346.07</v>
      </c>
      <c r="T56" s="13">
        <v>0</v>
      </c>
      <c r="U56" s="13">
        <v>0</v>
      </c>
      <c r="V56" s="13">
        <v>0</v>
      </c>
      <c r="W56" s="13">
        <v>0</v>
      </c>
      <c r="X56" s="12">
        <v>1</v>
      </c>
      <c r="Y56" s="12" t="s">
        <v>56</v>
      </c>
      <c r="Z56" s="12" t="s">
        <v>48</v>
      </c>
      <c r="AA56" s="12" t="s">
        <v>139</v>
      </c>
      <c r="AB56" s="14" t="str">
        <f>MID(PEDIDOS[[#This Row],[Vencimento(s)]],1,10)</f>
        <v>28/01/2026</v>
      </c>
      <c r="AC56" s="14" t="str">
        <f>MID(PEDIDOS[[#This Row],[Vencimento(s)]],14,10)</f>
        <v/>
      </c>
      <c r="AD56" s="14" t="str">
        <f>MID(PEDIDOS[[#This Row],[Vencimento(s)]],27,10)</f>
        <v/>
      </c>
      <c r="AE56" s="12" t="str">
        <f>MID(PEDIDOS[[#This Row],[Vencimento(s)]],40,10)</f>
        <v/>
      </c>
      <c r="AF56" s="12" t="str">
        <f>MID(PEDIDOS[[#This Row],[Vencimento(s)]],53,10)</f>
        <v/>
      </c>
    </row>
    <row r="57" spans="1:32" x14ac:dyDescent="0.25">
      <c r="A57" s="8" t="str">
        <f>_xlfn.CONCAT("001/",PEDIDOS[[#This Row],[Nota Fiscal]])</f>
        <v>001/000022984</v>
      </c>
      <c r="B57" s="8" t="str">
        <f>_xlfn.XLOOKUP(PEDIDOS[[#This Row],[NFS]],'[1]MOVIMENTAÇÃO DE ESTOQUE'!AA:AA,'[1]MOVIMENTAÇÃO DE ESTOQUE'!A:A,"NÃO",0,1)</f>
        <v>031004010</v>
      </c>
      <c r="C57" s="9">
        <f>IFERROR(SUM(PEDIDOS[[#This Row],[PRAZO 1]:[PRAZO 6]])/COUNT(PEDIDOS[[#This Row],[PRAZO 1]:[PRAZO 6]]),"VERIFICAR")</f>
        <v>35</v>
      </c>
      <c r="D57" s="9">
        <f>PEDIDOS[[#This Row],[PM]]/7</f>
        <v>5</v>
      </c>
      <c r="E57" s="10">
        <f>IF(PEDIDOS[[#This Row],[NUM DE SEMANA]]=4,0,_xlfn.XLOOKUP(PEDIDOS[[#This Row],[NUM DE SEMANA]],'[1]SEMANAS DE PAGAMENTO'!A:A,'[1]SEMANAS DE PAGAMENTO'!B:B,"VERIFICAR",-1))</f>
        <v>-5.0000000000000001E-4</v>
      </c>
      <c r="F57" s="11">
        <f t="shared" si="2"/>
        <v>35</v>
      </c>
      <c r="G57" s="11" t="str">
        <f t="shared" si="3"/>
        <v/>
      </c>
      <c r="H57" s="11" t="str">
        <f t="shared" si="3"/>
        <v/>
      </c>
      <c r="I57" s="11" t="str">
        <f t="shared" si="3"/>
        <v/>
      </c>
      <c r="J57" s="11" t="str">
        <f t="shared" si="3"/>
        <v/>
      </c>
      <c r="K57" s="11" t="str">
        <f t="shared" si="1"/>
        <v/>
      </c>
      <c r="L57" s="12" t="s">
        <v>273</v>
      </c>
      <c r="M57" s="12" t="s">
        <v>59</v>
      </c>
      <c r="N57" s="12" t="s">
        <v>274</v>
      </c>
      <c r="O57" s="12" t="s">
        <v>275</v>
      </c>
      <c r="P57" s="12" t="s">
        <v>54</v>
      </c>
      <c r="Q57" s="12" t="s">
        <v>120</v>
      </c>
      <c r="R57" s="13">
        <v>96190.308333334993</v>
      </c>
      <c r="S57" s="13">
        <v>171205.5</v>
      </c>
      <c r="T57" s="13">
        <v>0</v>
      </c>
      <c r="U57" s="13">
        <v>0</v>
      </c>
      <c r="V57" s="13">
        <v>0</v>
      </c>
      <c r="W57" s="13">
        <v>0</v>
      </c>
      <c r="X57" s="12">
        <v>50</v>
      </c>
      <c r="Y57" s="12" t="s">
        <v>63</v>
      </c>
      <c r="Z57" s="12" t="s">
        <v>48</v>
      </c>
      <c r="AA57" s="12" t="s">
        <v>98</v>
      </c>
      <c r="AB57" s="14" t="str">
        <f>MID(PEDIDOS[[#This Row],[Vencimento(s)]],1,10)</f>
        <v>10/02/2026</v>
      </c>
      <c r="AC57" s="14" t="str">
        <f>MID(PEDIDOS[[#This Row],[Vencimento(s)]],14,10)</f>
        <v/>
      </c>
      <c r="AD57" s="14" t="str">
        <f>MID(PEDIDOS[[#This Row],[Vencimento(s)]],27,10)</f>
        <v/>
      </c>
      <c r="AE57" s="12" t="str">
        <f>MID(PEDIDOS[[#This Row],[Vencimento(s)]],40,10)</f>
        <v/>
      </c>
      <c r="AF57" s="12" t="str">
        <f>MID(PEDIDOS[[#This Row],[Vencimento(s)]],53,10)</f>
        <v/>
      </c>
    </row>
    <row r="58" spans="1:32" x14ac:dyDescent="0.25">
      <c r="A58" s="8" t="str">
        <f>_xlfn.CONCAT("001/",PEDIDOS[[#This Row],[Nota Fiscal]])</f>
        <v>001/000022983</v>
      </c>
      <c r="B58" s="8" t="str">
        <f>_xlfn.XLOOKUP(PEDIDOS[[#This Row],[NFS]],'[1]MOVIMENTAÇÃO DE ESTOQUE'!AA:AA,'[1]MOVIMENTAÇÃO DE ESTOQUE'!A:A,"NÃO",0,1)</f>
        <v>023005001</v>
      </c>
      <c r="C58" s="9">
        <f>IFERROR(SUM(PEDIDOS[[#This Row],[PRAZO 1]:[PRAZO 6]])/COUNT(PEDIDOS[[#This Row],[PRAZO 1]:[PRAZO 6]]),"VERIFICAR")</f>
        <v>35</v>
      </c>
      <c r="D58" s="9">
        <f>PEDIDOS[[#This Row],[PM]]/7</f>
        <v>5</v>
      </c>
      <c r="E58" s="10">
        <f>IF(PEDIDOS[[#This Row],[NUM DE SEMANA]]=4,0,_xlfn.XLOOKUP(PEDIDOS[[#This Row],[NUM DE SEMANA]],'[1]SEMANAS DE PAGAMENTO'!A:A,'[1]SEMANAS DE PAGAMENTO'!B:B,"VERIFICAR",-1))</f>
        <v>-5.0000000000000001E-4</v>
      </c>
      <c r="F58" s="11">
        <f t="shared" si="2"/>
        <v>28</v>
      </c>
      <c r="G58" s="11">
        <f t="shared" si="3"/>
        <v>35</v>
      </c>
      <c r="H58" s="11">
        <f t="shared" si="3"/>
        <v>42</v>
      </c>
      <c r="I58" s="11" t="str">
        <f t="shared" si="3"/>
        <v/>
      </c>
      <c r="J58" s="11" t="str">
        <f t="shared" si="3"/>
        <v/>
      </c>
      <c r="K58" s="11" t="str">
        <f t="shared" si="1"/>
        <v/>
      </c>
      <c r="L58" s="12" t="s">
        <v>276</v>
      </c>
      <c r="M58" s="12" t="s">
        <v>59</v>
      </c>
      <c r="N58" s="12" t="s">
        <v>277</v>
      </c>
      <c r="O58" s="12" t="s">
        <v>275</v>
      </c>
      <c r="P58" s="12" t="s">
        <v>74</v>
      </c>
      <c r="Q58" s="12" t="s">
        <v>278</v>
      </c>
      <c r="R58" s="13">
        <v>1221.1230703599999</v>
      </c>
      <c r="S58" s="13">
        <v>3743.25</v>
      </c>
      <c r="T58" s="13">
        <v>0</v>
      </c>
      <c r="U58" s="13">
        <v>0</v>
      </c>
      <c r="V58" s="13">
        <v>0</v>
      </c>
      <c r="W58" s="13">
        <v>0</v>
      </c>
      <c r="X58" s="12">
        <v>25</v>
      </c>
      <c r="Y58" s="12" t="s">
        <v>63</v>
      </c>
      <c r="Z58" s="12" t="s">
        <v>48</v>
      </c>
      <c r="AA58" s="12" t="s">
        <v>279</v>
      </c>
      <c r="AB58" s="14" t="str">
        <f>MID(PEDIDOS[[#This Row],[Vencimento(s)]],1,10)</f>
        <v>03/02/2026</v>
      </c>
      <c r="AC58" s="14" t="str">
        <f>MID(PEDIDOS[[#This Row],[Vencimento(s)]],14,10)</f>
        <v>10/02/2026</v>
      </c>
      <c r="AD58" s="14" t="str">
        <f>MID(PEDIDOS[[#This Row],[Vencimento(s)]],27,10)</f>
        <v>17/02/2026</v>
      </c>
      <c r="AE58" s="12" t="str">
        <f>MID(PEDIDOS[[#This Row],[Vencimento(s)]],40,10)</f>
        <v/>
      </c>
      <c r="AF58" s="12" t="str">
        <f>MID(PEDIDOS[[#This Row],[Vencimento(s)]],53,10)</f>
        <v/>
      </c>
    </row>
    <row r="59" spans="1:32" x14ac:dyDescent="0.25">
      <c r="A59" s="8" t="str">
        <f>_xlfn.CONCAT("001/",PEDIDOS[[#This Row],[Nota Fiscal]])</f>
        <v>001/000023270</v>
      </c>
      <c r="B59" s="8" t="str">
        <f>_xlfn.XLOOKUP(PEDIDOS[[#This Row],[NFS]],'[1]MOVIMENTAÇÃO DE ESTOQUE'!AA:AA,'[1]MOVIMENTAÇÃO DE ESTOQUE'!A:A,"NÃO",0,1)</f>
        <v>002004012</v>
      </c>
      <c r="C59" s="9">
        <f>IFERROR(SUM(PEDIDOS[[#This Row],[PRAZO 1]:[PRAZO 6]])/COUNT(PEDIDOS[[#This Row],[PRAZO 1]:[PRAZO 6]]),"VERIFICAR")</f>
        <v>31.5</v>
      </c>
      <c r="D59" s="9">
        <f>PEDIDOS[[#This Row],[PM]]/7</f>
        <v>4.5</v>
      </c>
      <c r="E59" s="10">
        <f>IF(PEDIDOS[[#This Row],[NUM DE SEMANA]]=4,0,_xlfn.XLOOKUP(PEDIDOS[[#This Row],[NUM DE SEMANA]],'[1]SEMANAS DE PAGAMENTO'!A:A,'[1]SEMANAS DE PAGAMENTO'!B:B,"VERIFICAR",-1))</f>
        <v>5.0000000000000001E-4</v>
      </c>
      <c r="F59" s="11">
        <f t="shared" si="2"/>
        <v>28</v>
      </c>
      <c r="G59" s="11">
        <f t="shared" si="3"/>
        <v>35</v>
      </c>
      <c r="H59" s="11" t="str">
        <f t="shared" si="3"/>
        <v/>
      </c>
      <c r="I59" s="11" t="str">
        <f t="shared" si="3"/>
        <v/>
      </c>
      <c r="J59" s="11" t="str">
        <f t="shared" si="3"/>
        <v/>
      </c>
      <c r="K59" s="11" t="str">
        <f t="shared" si="1"/>
        <v/>
      </c>
      <c r="L59" s="12" t="s">
        <v>280</v>
      </c>
      <c r="M59" s="12" t="s">
        <v>35</v>
      </c>
      <c r="N59" s="12" t="s">
        <v>281</v>
      </c>
      <c r="O59" s="12" t="s">
        <v>53</v>
      </c>
      <c r="P59" s="12" t="s">
        <v>111</v>
      </c>
      <c r="Q59" s="12" t="s">
        <v>282</v>
      </c>
      <c r="R59" s="13">
        <v>2909.3</v>
      </c>
      <c r="S59" s="13">
        <v>7750.65</v>
      </c>
      <c r="T59" s="13">
        <v>0</v>
      </c>
      <c r="U59" s="13">
        <v>0</v>
      </c>
      <c r="V59" s="13">
        <v>0</v>
      </c>
      <c r="W59" s="13">
        <v>0</v>
      </c>
      <c r="X59" s="12">
        <v>0.4</v>
      </c>
      <c r="Y59" s="12" t="s">
        <v>283</v>
      </c>
      <c r="Z59" s="12" t="s">
        <v>48</v>
      </c>
      <c r="AA59" s="12" t="s">
        <v>284</v>
      </c>
      <c r="AB59" s="14" t="str">
        <f>MID(PEDIDOS[[#This Row],[Vencimento(s)]],1,10)</f>
        <v>24/02/2026</v>
      </c>
      <c r="AC59" s="14" t="str">
        <f>MID(PEDIDOS[[#This Row],[Vencimento(s)]],14,10)</f>
        <v>03/03/2026</v>
      </c>
      <c r="AD59" s="14" t="str">
        <f>MID(PEDIDOS[[#This Row],[Vencimento(s)]],27,10)</f>
        <v/>
      </c>
      <c r="AE59" s="12" t="str">
        <f>MID(PEDIDOS[[#This Row],[Vencimento(s)]],40,10)</f>
        <v/>
      </c>
      <c r="AF59" s="12" t="str">
        <f>MID(PEDIDOS[[#This Row],[Vencimento(s)]],53,10)</f>
        <v/>
      </c>
    </row>
    <row r="60" spans="1:32" x14ac:dyDescent="0.25">
      <c r="A60" s="8" t="str">
        <f>_xlfn.CONCAT("001/",PEDIDOS[[#This Row],[Nota Fiscal]])</f>
        <v>001/000023218</v>
      </c>
      <c r="B60" s="8" t="str">
        <f>_xlfn.XLOOKUP(PEDIDOS[[#This Row],[NFS]],'[1]MOVIMENTAÇÃO DE ESTOQUE'!AA:AA,'[1]MOVIMENTAÇÃO DE ESTOQUE'!A:A,"NÃO",0,1)</f>
        <v>063004003</v>
      </c>
      <c r="C60" s="9">
        <f>IFERROR(SUM(PEDIDOS[[#This Row],[PRAZO 1]:[PRAZO 6]])/COUNT(PEDIDOS[[#This Row],[PRAZO 1]:[PRAZO 6]]),"VERIFICAR")</f>
        <v>35</v>
      </c>
      <c r="D60" s="9">
        <f>PEDIDOS[[#This Row],[PM]]/7</f>
        <v>5</v>
      </c>
      <c r="E60" s="10">
        <f>IF(PEDIDOS[[#This Row],[NUM DE SEMANA]]=4,0,_xlfn.XLOOKUP(PEDIDOS[[#This Row],[NUM DE SEMANA]],'[1]SEMANAS DE PAGAMENTO'!A:A,'[1]SEMANAS DE PAGAMENTO'!B:B,"VERIFICAR",-1))</f>
        <v>-5.0000000000000001E-4</v>
      </c>
      <c r="F60" s="11">
        <f t="shared" si="2"/>
        <v>28</v>
      </c>
      <c r="G60" s="11">
        <f t="shared" si="3"/>
        <v>35</v>
      </c>
      <c r="H60" s="11">
        <f t="shared" si="3"/>
        <v>42</v>
      </c>
      <c r="I60" s="11" t="str">
        <f t="shared" si="3"/>
        <v/>
      </c>
      <c r="J60" s="11" t="str">
        <f t="shared" si="3"/>
        <v/>
      </c>
      <c r="K60" s="11" t="str">
        <f t="shared" si="1"/>
        <v/>
      </c>
      <c r="L60" s="12" t="s">
        <v>285</v>
      </c>
      <c r="M60" s="12" t="s">
        <v>59</v>
      </c>
      <c r="N60" s="12" t="s">
        <v>286</v>
      </c>
      <c r="O60" s="12" t="s">
        <v>85</v>
      </c>
      <c r="P60" s="12" t="s">
        <v>61</v>
      </c>
      <c r="Q60" s="12" t="s">
        <v>287</v>
      </c>
      <c r="R60" s="13">
        <v>225.2415</v>
      </c>
      <c r="S60" s="13">
        <v>2800.86</v>
      </c>
      <c r="T60" s="13">
        <v>0</v>
      </c>
      <c r="U60" s="13">
        <v>0</v>
      </c>
      <c r="V60" s="13">
        <v>0</v>
      </c>
      <c r="W60" s="13">
        <v>0</v>
      </c>
      <c r="X60" s="12">
        <v>1</v>
      </c>
      <c r="Y60" s="12" t="s">
        <v>63</v>
      </c>
      <c r="Z60" s="12" t="s">
        <v>48</v>
      </c>
      <c r="AA60" s="12" t="s">
        <v>93</v>
      </c>
      <c r="AB60" s="14" t="str">
        <f>MID(PEDIDOS[[#This Row],[Vencimento(s)]],1,10)</f>
        <v>19/02/2026</v>
      </c>
      <c r="AC60" s="14" t="str">
        <f>MID(PEDIDOS[[#This Row],[Vencimento(s)]],14,10)</f>
        <v>26/02/2026</v>
      </c>
      <c r="AD60" s="14" t="str">
        <f>MID(PEDIDOS[[#This Row],[Vencimento(s)]],27,10)</f>
        <v>05/03/2026</v>
      </c>
      <c r="AE60" s="12" t="str">
        <f>MID(PEDIDOS[[#This Row],[Vencimento(s)]],40,10)</f>
        <v/>
      </c>
      <c r="AF60" s="12" t="str">
        <f>MID(PEDIDOS[[#This Row],[Vencimento(s)]],53,10)</f>
        <v/>
      </c>
    </row>
    <row r="61" spans="1:32" x14ac:dyDescent="0.25">
      <c r="A61" s="8" t="str">
        <f>_xlfn.CONCAT("001/",PEDIDOS[[#This Row],[Nota Fiscal]])</f>
        <v>001/000023098</v>
      </c>
      <c r="B61" s="8" t="str">
        <f>_xlfn.XLOOKUP(PEDIDOS[[#This Row],[NFS]],'[1]MOVIMENTAÇÃO DE ESTOQUE'!AA:AA,'[1]MOVIMENTAÇÃO DE ESTOQUE'!A:A,"NÃO",0,1)</f>
        <v>001004079</v>
      </c>
      <c r="C61" s="9">
        <f>IFERROR(SUM(PEDIDOS[[#This Row],[PRAZO 1]:[PRAZO 6]])/COUNT(PEDIDOS[[#This Row],[PRAZO 1]:[PRAZO 6]]),"VERIFICAR")</f>
        <v>31.5</v>
      </c>
      <c r="D61" s="9">
        <f>PEDIDOS[[#This Row],[PM]]/7</f>
        <v>4.5</v>
      </c>
      <c r="E61" s="10">
        <f>IF(PEDIDOS[[#This Row],[NUM DE SEMANA]]=4,0,_xlfn.XLOOKUP(PEDIDOS[[#This Row],[NUM DE SEMANA]],'[1]SEMANAS DE PAGAMENTO'!A:A,'[1]SEMANAS DE PAGAMENTO'!B:B,"VERIFICAR",-1))</f>
        <v>5.0000000000000001E-4</v>
      </c>
      <c r="F61" s="11">
        <f t="shared" si="2"/>
        <v>21</v>
      </c>
      <c r="G61" s="11">
        <f t="shared" si="3"/>
        <v>28</v>
      </c>
      <c r="H61" s="11">
        <f t="shared" si="3"/>
        <v>35</v>
      </c>
      <c r="I61" s="11">
        <f t="shared" si="3"/>
        <v>42</v>
      </c>
      <c r="J61" s="11" t="str">
        <f t="shared" si="3"/>
        <v/>
      </c>
      <c r="K61" s="11" t="str">
        <f t="shared" si="1"/>
        <v/>
      </c>
      <c r="L61" s="12" t="s">
        <v>288</v>
      </c>
      <c r="M61" s="12" t="s">
        <v>59</v>
      </c>
      <c r="N61" s="12" t="s">
        <v>289</v>
      </c>
      <c r="O61" s="12" t="s">
        <v>204</v>
      </c>
      <c r="P61" s="12" t="s">
        <v>74</v>
      </c>
      <c r="Q61" s="12" t="s">
        <v>290</v>
      </c>
      <c r="R61" s="13">
        <v>27551.665238108701</v>
      </c>
      <c r="S61" s="13">
        <v>53893.06</v>
      </c>
      <c r="T61" s="13">
        <v>0</v>
      </c>
      <c r="U61" s="13">
        <v>0</v>
      </c>
      <c r="V61" s="13">
        <v>0</v>
      </c>
      <c r="W61" s="13">
        <v>0</v>
      </c>
      <c r="X61" s="12">
        <v>89</v>
      </c>
      <c r="Y61" s="12" t="s">
        <v>63</v>
      </c>
      <c r="Z61" s="12" t="s">
        <v>48</v>
      </c>
      <c r="AA61" s="12" t="s">
        <v>262</v>
      </c>
      <c r="AB61" s="14" t="str">
        <f>MID(PEDIDOS[[#This Row],[Vencimento(s)]],1,10)</f>
        <v>04/02/2026</v>
      </c>
      <c r="AC61" s="14" t="str">
        <f>MID(PEDIDOS[[#This Row],[Vencimento(s)]],14,10)</f>
        <v>11/02/2026</v>
      </c>
      <c r="AD61" s="14" t="str">
        <f>MID(PEDIDOS[[#This Row],[Vencimento(s)]],27,10)</f>
        <v>18/02/2026</v>
      </c>
      <c r="AE61" s="12" t="str">
        <f>MID(PEDIDOS[[#This Row],[Vencimento(s)]],40,10)</f>
        <v>25/02/2026</v>
      </c>
      <c r="AF61" s="12" t="str">
        <f>MID(PEDIDOS[[#This Row],[Vencimento(s)]],53,10)</f>
        <v/>
      </c>
    </row>
    <row r="62" spans="1:32" x14ac:dyDescent="0.25">
      <c r="A62" s="8" t="str">
        <f>_xlfn.CONCAT("001/",PEDIDOS[[#This Row],[Nota Fiscal]])</f>
        <v>001/000023229</v>
      </c>
      <c r="B62" s="8" t="str">
        <f>_xlfn.XLOOKUP(PEDIDOS[[#This Row],[NFS]],'[1]MOVIMENTAÇÃO DE ESTOQUE'!AA:AA,'[1]MOVIMENTAÇÃO DE ESTOQUE'!A:A,"NÃO",0,1)</f>
        <v>002004121</v>
      </c>
      <c r="C62" s="9">
        <f>IFERROR(SUM(PEDIDOS[[#This Row],[PRAZO 1]:[PRAZO 6]])/COUNT(PEDIDOS[[#This Row],[PRAZO 1]:[PRAZO 6]]),"VERIFICAR")</f>
        <v>28</v>
      </c>
      <c r="D62" s="9">
        <f>PEDIDOS[[#This Row],[PM]]/7</f>
        <v>4</v>
      </c>
      <c r="E62" s="10">
        <f>IF(PEDIDOS[[#This Row],[NUM DE SEMANA]]=4,0,_xlfn.XLOOKUP(PEDIDOS[[#This Row],[NUM DE SEMANA]],'[1]SEMANAS DE PAGAMENTO'!A:A,'[1]SEMANAS DE PAGAMENTO'!B:B,"VERIFICAR",-1))</f>
        <v>0</v>
      </c>
      <c r="F62" s="11">
        <f t="shared" si="2"/>
        <v>21</v>
      </c>
      <c r="G62" s="11">
        <f t="shared" si="3"/>
        <v>28</v>
      </c>
      <c r="H62" s="11">
        <f t="shared" si="3"/>
        <v>35</v>
      </c>
      <c r="I62" s="11" t="str">
        <f t="shared" si="3"/>
        <v/>
      </c>
      <c r="J62" s="11" t="str">
        <f t="shared" si="3"/>
        <v/>
      </c>
      <c r="K62" s="11" t="str">
        <f t="shared" si="1"/>
        <v/>
      </c>
      <c r="L62" s="12" t="s">
        <v>291</v>
      </c>
      <c r="M62" s="12" t="s">
        <v>59</v>
      </c>
      <c r="N62" s="12" t="s">
        <v>292</v>
      </c>
      <c r="O62" s="12" t="s">
        <v>85</v>
      </c>
      <c r="P62" s="12" t="s">
        <v>54</v>
      </c>
      <c r="Q62" s="12" t="s">
        <v>293</v>
      </c>
      <c r="R62" s="13">
        <v>10555.14972431874</v>
      </c>
      <c r="S62" s="13">
        <v>24175.7</v>
      </c>
      <c r="T62" s="13">
        <v>0</v>
      </c>
      <c r="U62" s="13">
        <v>0</v>
      </c>
      <c r="V62" s="13">
        <v>0</v>
      </c>
      <c r="W62" s="13">
        <v>0</v>
      </c>
      <c r="X62" s="12">
        <v>1.1000000000000001</v>
      </c>
      <c r="Y62" s="12" t="s">
        <v>63</v>
      </c>
      <c r="Z62" s="12" t="s">
        <v>48</v>
      </c>
      <c r="AA62" s="12" t="s">
        <v>294</v>
      </c>
      <c r="AB62" s="14" t="str">
        <f>MID(PEDIDOS[[#This Row],[Vencimento(s)]],1,10)</f>
        <v>12/02/2026</v>
      </c>
      <c r="AC62" s="14" t="str">
        <f>MID(PEDIDOS[[#This Row],[Vencimento(s)]],14,10)</f>
        <v>19/02/2026</v>
      </c>
      <c r="AD62" s="14" t="str">
        <f>MID(PEDIDOS[[#This Row],[Vencimento(s)]],27,10)</f>
        <v>26/02/2026</v>
      </c>
      <c r="AE62" s="12" t="str">
        <f>MID(PEDIDOS[[#This Row],[Vencimento(s)]],40,10)</f>
        <v/>
      </c>
      <c r="AF62" s="12" t="str">
        <f>MID(PEDIDOS[[#This Row],[Vencimento(s)]],53,10)</f>
        <v/>
      </c>
    </row>
    <row r="63" spans="1:32" x14ac:dyDescent="0.25">
      <c r="A63" s="8" t="str">
        <f>_xlfn.CONCAT("001/",PEDIDOS[[#This Row],[Nota Fiscal]])</f>
        <v>001/000022980</v>
      </c>
      <c r="B63" s="8" t="str">
        <f>_xlfn.XLOOKUP(PEDIDOS[[#This Row],[NFS]],'[1]MOVIMENTAÇÃO DE ESTOQUE'!AA:AA,'[1]MOVIMENTAÇÃO DE ESTOQUE'!A:A,"NÃO",0,1)</f>
        <v>023005001</v>
      </c>
      <c r="C63" s="9">
        <f>IFERROR(SUM(PEDIDOS[[#This Row],[PRAZO 1]:[PRAZO 6]])/COUNT(PEDIDOS[[#This Row],[PRAZO 1]:[PRAZO 6]]),"VERIFICAR")</f>
        <v>31.5</v>
      </c>
      <c r="D63" s="9">
        <f>PEDIDOS[[#This Row],[PM]]/7</f>
        <v>4.5</v>
      </c>
      <c r="E63" s="10">
        <f>IF(PEDIDOS[[#This Row],[NUM DE SEMANA]]=4,0,_xlfn.XLOOKUP(PEDIDOS[[#This Row],[NUM DE SEMANA]],'[1]SEMANAS DE PAGAMENTO'!A:A,'[1]SEMANAS DE PAGAMENTO'!B:B,"VERIFICAR",-1))</f>
        <v>5.0000000000000001E-4</v>
      </c>
      <c r="F63" s="11">
        <f t="shared" si="2"/>
        <v>28</v>
      </c>
      <c r="G63" s="11">
        <f t="shared" si="3"/>
        <v>35</v>
      </c>
      <c r="H63" s="11" t="str">
        <f t="shared" si="3"/>
        <v/>
      </c>
      <c r="I63" s="11" t="str">
        <f t="shared" si="3"/>
        <v/>
      </c>
      <c r="J63" s="11" t="str">
        <f t="shared" si="3"/>
        <v/>
      </c>
      <c r="K63" s="11" t="str">
        <f t="shared" si="1"/>
        <v/>
      </c>
      <c r="L63" s="12" t="s">
        <v>295</v>
      </c>
      <c r="M63" s="12" t="s">
        <v>35</v>
      </c>
      <c r="N63" s="12" t="s">
        <v>296</v>
      </c>
      <c r="O63" s="12" t="s">
        <v>275</v>
      </c>
      <c r="P63" s="12" t="s">
        <v>45</v>
      </c>
      <c r="Q63" s="12" t="s">
        <v>297</v>
      </c>
      <c r="R63" s="13">
        <v>1221.1230703599999</v>
      </c>
      <c r="S63" s="13">
        <v>4451.25</v>
      </c>
      <c r="T63" s="13">
        <v>0</v>
      </c>
      <c r="U63" s="13">
        <v>0</v>
      </c>
      <c r="V63" s="13">
        <v>0</v>
      </c>
      <c r="W63" s="13">
        <v>0</v>
      </c>
      <c r="X63" s="12">
        <v>25</v>
      </c>
      <c r="Y63" s="12" t="s">
        <v>298</v>
      </c>
      <c r="Z63" s="12" t="s">
        <v>48</v>
      </c>
      <c r="AA63" s="12" t="s">
        <v>259</v>
      </c>
      <c r="AB63" s="14" t="str">
        <f>MID(PEDIDOS[[#This Row],[Vencimento(s)]],1,10)</f>
        <v>03/02/2026</v>
      </c>
      <c r="AC63" s="14" t="str">
        <f>MID(PEDIDOS[[#This Row],[Vencimento(s)]],14,10)</f>
        <v>10/02/2026</v>
      </c>
      <c r="AD63" s="14" t="str">
        <f>MID(PEDIDOS[[#This Row],[Vencimento(s)]],27,10)</f>
        <v/>
      </c>
      <c r="AE63" s="12" t="str">
        <f>MID(PEDIDOS[[#This Row],[Vencimento(s)]],40,10)</f>
        <v/>
      </c>
      <c r="AF63" s="12" t="str">
        <f>MID(PEDIDOS[[#This Row],[Vencimento(s)]],53,10)</f>
        <v/>
      </c>
    </row>
    <row r="64" spans="1:32" x14ac:dyDescent="0.25">
      <c r="A64" s="8" t="str">
        <f>_xlfn.CONCAT("001/",PEDIDOS[[#This Row],[Nota Fiscal]])</f>
        <v>001/000023153</v>
      </c>
      <c r="B64" s="8" t="str">
        <f>_xlfn.XLOOKUP(PEDIDOS[[#This Row],[NFS]],'[1]MOVIMENTAÇÃO DE ESTOQUE'!AA:AA,'[1]MOVIMENTAÇÃO DE ESTOQUE'!A:A,"NÃO",0,1)</f>
        <v>030004007</v>
      </c>
      <c r="C64" s="9">
        <f>IFERROR(SUM(PEDIDOS[[#This Row],[PRAZO 1]:[PRAZO 6]])/COUNT(PEDIDOS[[#This Row],[PRAZO 1]:[PRAZO 6]]),"VERIFICAR")</f>
        <v>42</v>
      </c>
      <c r="D64" s="9">
        <f>PEDIDOS[[#This Row],[PM]]/7</f>
        <v>6</v>
      </c>
      <c r="E64" s="10">
        <f>IF(PEDIDOS[[#This Row],[NUM DE SEMANA]]=4,0,_xlfn.XLOOKUP(PEDIDOS[[#This Row],[NUM DE SEMANA]],'[1]SEMANAS DE PAGAMENTO'!A:A,'[1]SEMANAS DE PAGAMENTO'!B:B,"VERIFICAR",-1))</f>
        <v>-1E-3</v>
      </c>
      <c r="F64" s="11">
        <f t="shared" si="2"/>
        <v>42</v>
      </c>
      <c r="G64" s="11" t="str">
        <f t="shared" si="3"/>
        <v/>
      </c>
      <c r="H64" s="11" t="str">
        <f t="shared" si="3"/>
        <v/>
      </c>
      <c r="I64" s="11" t="str">
        <f t="shared" si="3"/>
        <v/>
      </c>
      <c r="J64" s="11" t="str">
        <f t="shared" si="3"/>
        <v/>
      </c>
      <c r="K64" s="11" t="str">
        <f t="shared" si="1"/>
        <v/>
      </c>
      <c r="L64" s="12" t="s">
        <v>299</v>
      </c>
      <c r="M64" s="12" t="s">
        <v>35</v>
      </c>
      <c r="N64" s="12" t="s">
        <v>300</v>
      </c>
      <c r="O64" s="12" t="s">
        <v>149</v>
      </c>
      <c r="P64" s="12" t="s">
        <v>38</v>
      </c>
      <c r="Q64" s="12" t="s">
        <v>205</v>
      </c>
      <c r="R64" s="13">
        <v>10797.7100175049</v>
      </c>
      <c r="S64" s="13">
        <v>21505.34</v>
      </c>
      <c r="T64" s="13">
        <v>0</v>
      </c>
      <c r="U64" s="13">
        <v>0</v>
      </c>
      <c r="V64" s="13">
        <v>0</v>
      </c>
      <c r="W64" s="13">
        <v>0</v>
      </c>
      <c r="X64" s="12">
        <v>19</v>
      </c>
      <c r="Y64" s="12" t="s">
        <v>301</v>
      </c>
      <c r="Z64" s="12" t="s">
        <v>48</v>
      </c>
      <c r="AA64" s="12" t="s">
        <v>235</v>
      </c>
      <c r="AB64" s="14" t="str">
        <f>MID(PEDIDOS[[#This Row],[Vencimento(s)]],1,10)</f>
        <v>02/03/2026</v>
      </c>
      <c r="AC64" s="14" t="str">
        <f>MID(PEDIDOS[[#This Row],[Vencimento(s)]],14,10)</f>
        <v/>
      </c>
      <c r="AD64" s="14" t="str">
        <f>MID(PEDIDOS[[#This Row],[Vencimento(s)]],27,10)</f>
        <v/>
      </c>
      <c r="AE64" s="12" t="str">
        <f>MID(PEDIDOS[[#This Row],[Vencimento(s)]],40,10)</f>
        <v/>
      </c>
      <c r="AF64" s="12" t="str">
        <f>MID(PEDIDOS[[#This Row],[Vencimento(s)]],53,10)</f>
        <v/>
      </c>
    </row>
    <row r="65" spans="1:32" x14ac:dyDescent="0.25">
      <c r="A65" s="8" t="str">
        <f>_xlfn.CONCAT("001/",PEDIDOS[[#This Row],[Nota Fiscal]])</f>
        <v>001/000023164</v>
      </c>
      <c r="B65" s="8" t="str">
        <f>_xlfn.XLOOKUP(PEDIDOS[[#This Row],[NFS]],'[1]MOVIMENTAÇÃO DE ESTOQUE'!AA:AA,'[1]MOVIMENTAÇÃO DE ESTOQUE'!A:A,"NÃO",0,1)</f>
        <v>030004008</v>
      </c>
      <c r="C65" s="9">
        <f>IFERROR(SUM(PEDIDOS[[#This Row],[PRAZO 1]:[PRAZO 6]])/COUNT(PEDIDOS[[#This Row],[PRAZO 1]:[PRAZO 6]]),"VERIFICAR")</f>
        <v>42</v>
      </c>
      <c r="D65" s="9">
        <f>PEDIDOS[[#This Row],[PM]]/7</f>
        <v>6</v>
      </c>
      <c r="E65" s="10">
        <f>IF(PEDIDOS[[#This Row],[NUM DE SEMANA]]=4,0,_xlfn.XLOOKUP(PEDIDOS[[#This Row],[NUM DE SEMANA]],'[1]SEMANAS DE PAGAMENTO'!A:A,'[1]SEMANAS DE PAGAMENTO'!B:B,"VERIFICAR",-1))</f>
        <v>-1E-3</v>
      </c>
      <c r="F65" s="11">
        <f t="shared" si="2"/>
        <v>42</v>
      </c>
      <c r="G65" s="11" t="str">
        <f t="shared" si="3"/>
        <v/>
      </c>
      <c r="H65" s="11" t="str">
        <f t="shared" si="3"/>
        <v/>
      </c>
      <c r="I65" s="11" t="str">
        <f t="shared" si="3"/>
        <v/>
      </c>
      <c r="J65" s="11" t="str">
        <f t="shared" si="3"/>
        <v/>
      </c>
      <c r="K65" s="11" t="str">
        <f t="shared" si="1"/>
        <v/>
      </c>
      <c r="L65" s="12" t="s">
        <v>302</v>
      </c>
      <c r="M65" s="12" t="s">
        <v>35</v>
      </c>
      <c r="N65" s="12" t="s">
        <v>303</v>
      </c>
      <c r="O65" s="12" t="s">
        <v>149</v>
      </c>
      <c r="P65" s="12" t="s">
        <v>38</v>
      </c>
      <c r="Q65" s="12" t="s">
        <v>205</v>
      </c>
      <c r="R65" s="13">
        <v>28860.694825386199</v>
      </c>
      <c r="S65" s="13">
        <v>100945.86</v>
      </c>
      <c r="T65" s="13">
        <v>0</v>
      </c>
      <c r="U65" s="13">
        <v>0</v>
      </c>
      <c r="V65" s="13">
        <v>0</v>
      </c>
      <c r="W65" s="13">
        <v>0</v>
      </c>
      <c r="X65" s="12">
        <v>73</v>
      </c>
      <c r="Y65" s="12" t="s">
        <v>234</v>
      </c>
      <c r="Z65" s="12" t="s">
        <v>48</v>
      </c>
      <c r="AA65" s="12" t="s">
        <v>235</v>
      </c>
      <c r="AB65" s="14" t="str">
        <f>MID(PEDIDOS[[#This Row],[Vencimento(s)]],1,10)</f>
        <v>02/03/2026</v>
      </c>
      <c r="AC65" s="14" t="str">
        <f>MID(PEDIDOS[[#This Row],[Vencimento(s)]],14,10)</f>
        <v/>
      </c>
      <c r="AD65" s="14" t="str">
        <f>MID(PEDIDOS[[#This Row],[Vencimento(s)]],27,10)</f>
        <v/>
      </c>
      <c r="AE65" s="12" t="str">
        <f>MID(PEDIDOS[[#This Row],[Vencimento(s)]],40,10)</f>
        <v/>
      </c>
      <c r="AF65" s="12" t="str">
        <f>MID(PEDIDOS[[#This Row],[Vencimento(s)]],53,10)</f>
        <v/>
      </c>
    </row>
    <row r="66" spans="1:32" x14ac:dyDescent="0.25">
      <c r="A66" s="8" t="str">
        <f>_xlfn.CONCAT("001/",PEDIDOS[[#This Row],[Nota Fiscal]])</f>
        <v>001/000023152</v>
      </c>
      <c r="B66" s="8" t="str">
        <f>_xlfn.XLOOKUP(PEDIDOS[[#This Row],[NFS]],'[1]MOVIMENTAÇÃO DE ESTOQUE'!AA:AA,'[1]MOVIMENTAÇÃO DE ESTOQUE'!A:A,"NÃO",0,1)</f>
        <v>030004015</v>
      </c>
      <c r="C66" s="9">
        <f>IFERROR(SUM(PEDIDOS[[#This Row],[PRAZO 1]:[PRAZO 6]])/COUNT(PEDIDOS[[#This Row],[PRAZO 1]:[PRAZO 6]]),"VERIFICAR")</f>
        <v>42</v>
      </c>
      <c r="D66" s="9">
        <f>PEDIDOS[[#This Row],[PM]]/7</f>
        <v>6</v>
      </c>
      <c r="E66" s="10">
        <f>IF(PEDIDOS[[#This Row],[NUM DE SEMANA]]=4,0,_xlfn.XLOOKUP(PEDIDOS[[#This Row],[NUM DE SEMANA]],'[1]SEMANAS DE PAGAMENTO'!A:A,'[1]SEMANAS DE PAGAMENTO'!B:B,"VERIFICAR",-1))</f>
        <v>-1E-3</v>
      </c>
      <c r="F66" s="11">
        <f t="shared" si="2"/>
        <v>42</v>
      </c>
      <c r="G66" s="11" t="str">
        <f t="shared" si="3"/>
        <v/>
      </c>
      <c r="H66" s="11" t="str">
        <f t="shared" si="3"/>
        <v/>
      </c>
      <c r="I66" s="11" t="str">
        <f t="shared" si="3"/>
        <v/>
      </c>
      <c r="J66" s="11" t="str">
        <f t="shared" si="3"/>
        <v/>
      </c>
      <c r="K66" s="11" t="str">
        <f t="shared" si="1"/>
        <v/>
      </c>
      <c r="L66" s="12" t="s">
        <v>304</v>
      </c>
      <c r="M66" s="12" t="s">
        <v>35</v>
      </c>
      <c r="N66" s="12" t="s">
        <v>305</v>
      </c>
      <c r="O66" s="12" t="s">
        <v>149</v>
      </c>
      <c r="P66" s="12" t="s">
        <v>38</v>
      </c>
      <c r="Q66" s="12" t="s">
        <v>205</v>
      </c>
      <c r="R66" s="13">
        <v>7123.2079627499998</v>
      </c>
      <c r="S66" s="13">
        <v>21760</v>
      </c>
      <c r="T66" s="13">
        <v>0</v>
      </c>
      <c r="U66" s="13">
        <v>0</v>
      </c>
      <c r="V66" s="13">
        <v>0</v>
      </c>
      <c r="W66" s="13">
        <v>0</v>
      </c>
      <c r="X66" s="12">
        <v>250</v>
      </c>
      <c r="Y66" s="12" t="s">
        <v>306</v>
      </c>
      <c r="Z66" s="12" t="s">
        <v>48</v>
      </c>
      <c r="AA66" s="12" t="s">
        <v>235</v>
      </c>
      <c r="AB66" s="14" t="str">
        <f>MID(PEDIDOS[[#This Row],[Vencimento(s)]],1,10)</f>
        <v>02/03/2026</v>
      </c>
      <c r="AC66" s="14" t="str">
        <f>MID(PEDIDOS[[#This Row],[Vencimento(s)]],14,10)</f>
        <v/>
      </c>
      <c r="AD66" s="14" t="str">
        <f>MID(PEDIDOS[[#This Row],[Vencimento(s)]],27,10)</f>
        <v/>
      </c>
      <c r="AE66" s="12" t="str">
        <f>MID(PEDIDOS[[#This Row],[Vencimento(s)]],40,10)</f>
        <v/>
      </c>
      <c r="AF66" s="12" t="str">
        <f>MID(PEDIDOS[[#This Row],[Vencimento(s)]],53,10)</f>
        <v/>
      </c>
    </row>
    <row r="67" spans="1:32" x14ac:dyDescent="0.25">
      <c r="A67" s="8" t="str">
        <f>_xlfn.CONCAT("001/",PEDIDOS[[#This Row],[Nota Fiscal]])</f>
        <v>001/000023151</v>
      </c>
      <c r="B67" s="8" t="str">
        <f>_xlfn.XLOOKUP(PEDIDOS[[#This Row],[NFS]],'[1]MOVIMENTAÇÃO DE ESTOQUE'!AA:AA,'[1]MOVIMENTAÇÃO DE ESTOQUE'!A:A,"NÃO",0,1)</f>
        <v>030004006</v>
      </c>
      <c r="C67" s="9">
        <f>IFERROR(SUM(PEDIDOS[[#This Row],[PRAZO 1]:[PRAZO 6]])/COUNT(PEDIDOS[[#This Row],[PRAZO 1]:[PRAZO 6]]),"VERIFICAR")</f>
        <v>42</v>
      </c>
      <c r="D67" s="9">
        <f>PEDIDOS[[#This Row],[PM]]/7</f>
        <v>6</v>
      </c>
      <c r="E67" s="10">
        <f>IF(PEDIDOS[[#This Row],[NUM DE SEMANA]]=4,0,_xlfn.XLOOKUP(PEDIDOS[[#This Row],[NUM DE SEMANA]],'[1]SEMANAS DE PAGAMENTO'!A:A,'[1]SEMANAS DE PAGAMENTO'!B:B,"VERIFICAR",-1))</f>
        <v>-1E-3</v>
      </c>
      <c r="F67" s="11">
        <f t="shared" si="2"/>
        <v>42</v>
      </c>
      <c r="G67" s="11" t="str">
        <f t="shared" si="3"/>
        <v/>
      </c>
      <c r="H67" s="11" t="str">
        <f t="shared" si="3"/>
        <v/>
      </c>
      <c r="I67" s="11" t="str">
        <f t="shared" si="3"/>
        <v/>
      </c>
      <c r="J67" s="11" t="str">
        <f t="shared" si="3"/>
        <v/>
      </c>
      <c r="K67" s="11" t="str">
        <f t="shared" ref="K67:K130" si="4">IF(AG67&lt;&gt;0,AG67-$O67,"")</f>
        <v/>
      </c>
      <c r="L67" s="12" t="s">
        <v>307</v>
      </c>
      <c r="M67" s="12" t="s">
        <v>35</v>
      </c>
      <c r="N67" s="12" t="s">
        <v>308</v>
      </c>
      <c r="O67" s="12" t="s">
        <v>149</v>
      </c>
      <c r="P67" s="12" t="s">
        <v>38</v>
      </c>
      <c r="Q67" s="12" t="s">
        <v>205</v>
      </c>
      <c r="R67" s="13">
        <v>16981.741883974999</v>
      </c>
      <c r="S67" s="13">
        <v>43818.75</v>
      </c>
      <c r="T67" s="13">
        <v>0</v>
      </c>
      <c r="U67" s="13">
        <v>0</v>
      </c>
      <c r="V67" s="13">
        <v>0</v>
      </c>
      <c r="W67" s="13">
        <v>0</v>
      </c>
      <c r="X67" s="12">
        <v>125</v>
      </c>
      <c r="Y67" s="12" t="s">
        <v>309</v>
      </c>
      <c r="Z67" s="12" t="s">
        <v>48</v>
      </c>
      <c r="AA67" s="12" t="s">
        <v>235</v>
      </c>
      <c r="AB67" s="14" t="str">
        <f>MID(PEDIDOS[[#This Row],[Vencimento(s)]],1,10)</f>
        <v>02/03/2026</v>
      </c>
      <c r="AC67" s="14" t="str">
        <f>MID(PEDIDOS[[#This Row],[Vencimento(s)]],14,10)</f>
        <v/>
      </c>
      <c r="AD67" s="14" t="str">
        <f>MID(PEDIDOS[[#This Row],[Vencimento(s)]],27,10)</f>
        <v/>
      </c>
      <c r="AE67" s="12" t="str">
        <f>MID(PEDIDOS[[#This Row],[Vencimento(s)]],40,10)</f>
        <v/>
      </c>
      <c r="AF67" s="12" t="str">
        <f>MID(PEDIDOS[[#This Row],[Vencimento(s)]],53,10)</f>
        <v/>
      </c>
    </row>
    <row r="68" spans="1:32" x14ac:dyDescent="0.25">
      <c r="A68" s="8" t="str">
        <f>_xlfn.CONCAT("001/",PEDIDOS[[#This Row],[Nota Fiscal]])</f>
        <v>001/000023158</v>
      </c>
      <c r="B68" s="8" t="str">
        <f>_xlfn.XLOOKUP(PEDIDOS[[#This Row],[NFS]],'[1]MOVIMENTAÇÃO DE ESTOQUE'!AA:AA,'[1]MOVIMENTAÇÃO DE ESTOQUE'!A:A,"NÃO",0,1)</f>
        <v>002004041</v>
      </c>
      <c r="C68" s="9">
        <f>IFERROR(SUM(PEDIDOS[[#This Row],[PRAZO 1]:[PRAZO 6]])/COUNT(PEDIDOS[[#This Row],[PRAZO 1]:[PRAZO 6]]),"VERIFICAR")</f>
        <v>42.5</v>
      </c>
      <c r="D68" s="9">
        <f>PEDIDOS[[#This Row],[PM]]/7</f>
        <v>6.0714285714285712</v>
      </c>
      <c r="E68" s="10">
        <f>IF(PEDIDOS[[#This Row],[NUM DE SEMANA]]=4,0,_xlfn.XLOOKUP(PEDIDOS[[#This Row],[NUM DE SEMANA]],'[1]SEMANAS DE PAGAMENTO'!A:A,'[1]SEMANAS DE PAGAMENTO'!B:B,"VERIFICAR",-1))</f>
        <v>-1E-3</v>
      </c>
      <c r="F68" s="11">
        <f t="shared" ref="F68:F131" si="5">IF(AB68&lt;&gt;0,AB68-$O68,"")</f>
        <v>32</v>
      </c>
      <c r="G68" s="11">
        <f t="shared" si="3"/>
        <v>39</v>
      </c>
      <c r="H68" s="11">
        <f t="shared" si="3"/>
        <v>46</v>
      </c>
      <c r="I68" s="11">
        <f t="shared" si="3"/>
        <v>53</v>
      </c>
      <c r="J68" s="11" t="str">
        <f t="shared" si="3"/>
        <v/>
      </c>
      <c r="K68" s="11" t="str">
        <f t="shared" si="4"/>
        <v/>
      </c>
      <c r="L68" s="12" t="s">
        <v>310</v>
      </c>
      <c r="M68" s="12" t="s">
        <v>35</v>
      </c>
      <c r="N68" s="12" t="s">
        <v>311</v>
      </c>
      <c r="O68" s="12" t="s">
        <v>149</v>
      </c>
      <c r="P68" s="12" t="s">
        <v>45</v>
      </c>
      <c r="Q68" s="12" t="s">
        <v>46</v>
      </c>
      <c r="R68" s="13">
        <v>2667.1864012336</v>
      </c>
      <c r="S68" s="13">
        <v>8326.91</v>
      </c>
      <c r="T68" s="13">
        <v>0</v>
      </c>
      <c r="U68" s="13">
        <v>0</v>
      </c>
      <c r="V68" s="13">
        <v>0</v>
      </c>
      <c r="W68" s="13">
        <v>0</v>
      </c>
      <c r="X68" s="12">
        <v>6.92</v>
      </c>
      <c r="Y68" s="12" t="s">
        <v>312</v>
      </c>
      <c r="Z68" s="12" t="s">
        <v>48</v>
      </c>
      <c r="AA68" s="12" t="s">
        <v>313</v>
      </c>
      <c r="AB68" s="14" t="str">
        <f>MID(PEDIDOS[[#This Row],[Vencimento(s)]],1,10)</f>
        <v>20/02/2026</v>
      </c>
      <c r="AC68" s="14" t="str">
        <f>MID(PEDIDOS[[#This Row],[Vencimento(s)]],14,10)</f>
        <v>27/02/2026</v>
      </c>
      <c r="AD68" s="14" t="str">
        <f>MID(PEDIDOS[[#This Row],[Vencimento(s)]],27,10)</f>
        <v>06/03/2026</v>
      </c>
      <c r="AE68" s="12" t="str">
        <f>MID(PEDIDOS[[#This Row],[Vencimento(s)]],40,10)</f>
        <v>13/03/2026</v>
      </c>
      <c r="AF68" s="12" t="str">
        <f>MID(PEDIDOS[[#This Row],[Vencimento(s)]],53,10)</f>
        <v/>
      </c>
    </row>
    <row r="69" spans="1:32" x14ac:dyDescent="0.25">
      <c r="A69" s="8" t="str">
        <f>_xlfn.CONCAT("001/",PEDIDOS[[#This Row],[Nota Fiscal]])</f>
        <v>001/000023288</v>
      </c>
      <c r="B69" s="8" t="str">
        <f>_xlfn.XLOOKUP(PEDIDOS[[#This Row],[NFS]],'[1]MOVIMENTAÇÃO DE ESTOQUE'!AA:AA,'[1]MOVIMENTAÇÃO DE ESTOQUE'!A:A,"NÃO",0,1)</f>
        <v>023005001</v>
      </c>
      <c r="C69" s="9">
        <f>IFERROR(SUM(PEDIDOS[[#This Row],[PRAZO 1]:[PRAZO 6]])/COUNT(PEDIDOS[[#This Row],[PRAZO 1]:[PRAZO 6]]),"VERIFICAR")</f>
        <v>0</v>
      </c>
      <c r="D69" s="9">
        <f>PEDIDOS[[#This Row],[PM]]/7</f>
        <v>0</v>
      </c>
      <c r="E69" s="10">
        <f>IF(PEDIDOS[[#This Row],[NUM DE SEMANA]]=4,0,_xlfn.XLOOKUP(PEDIDOS[[#This Row],[NUM DE SEMANA]],'[1]SEMANAS DE PAGAMENTO'!A:A,'[1]SEMANAS DE PAGAMENTO'!B:B,"VERIFICAR",-1))</f>
        <v>2E-3</v>
      </c>
      <c r="F69" s="11">
        <f t="shared" si="5"/>
        <v>0</v>
      </c>
      <c r="G69" s="11" t="str">
        <f t="shared" si="3"/>
        <v/>
      </c>
      <c r="H69" s="11" t="str">
        <f t="shared" si="3"/>
        <v/>
      </c>
      <c r="I69" s="11" t="str">
        <f t="shared" si="3"/>
        <v/>
      </c>
      <c r="J69" s="11" t="str">
        <f t="shared" si="3"/>
        <v/>
      </c>
      <c r="K69" s="11" t="str">
        <f t="shared" si="4"/>
        <v/>
      </c>
      <c r="L69" s="12" t="s">
        <v>314</v>
      </c>
      <c r="M69" s="12" t="s">
        <v>59</v>
      </c>
      <c r="N69" s="12" t="s">
        <v>315</v>
      </c>
      <c r="O69" s="12" t="s">
        <v>139</v>
      </c>
      <c r="P69" s="12" t="s">
        <v>74</v>
      </c>
      <c r="Q69" s="12" t="s">
        <v>316</v>
      </c>
      <c r="R69" s="13">
        <v>48.844735999999997</v>
      </c>
      <c r="S69" s="13">
        <v>156.25</v>
      </c>
      <c r="T69" s="13">
        <v>0</v>
      </c>
      <c r="U69" s="13">
        <v>0</v>
      </c>
      <c r="V69" s="13">
        <v>0</v>
      </c>
      <c r="W69" s="13">
        <v>0</v>
      </c>
      <c r="X69" s="12">
        <v>1</v>
      </c>
      <c r="Y69" s="12" t="s">
        <v>63</v>
      </c>
      <c r="Z69" s="12" t="s">
        <v>41</v>
      </c>
      <c r="AA69" s="12" t="s">
        <v>139</v>
      </c>
      <c r="AB69" s="14" t="str">
        <f>MID(PEDIDOS[[#This Row],[Vencimento(s)]],1,10)</f>
        <v>28/01/2026</v>
      </c>
      <c r="AC69" s="14" t="str">
        <f>MID(PEDIDOS[[#This Row],[Vencimento(s)]],14,10)</f>
        <v/>
      </c>
      <c r="AD69" s="14" t="str">
        <f>MID(PEDIDOS[[#This Row],[Vencimento(s)]],27,10)</f>
        <v/>
      </c>
      <c r="AE69" s="12" t="str">
        <f>MID(PEDIDOS[[#This Row],[Vencimento(s)]],40,10)</f>
        <v/>
      </c>
      <c r="AF69" s="12" t="str">
        <f>MID(PEDIDOS[[#This Row],[Vencimento(s)]],53,10)</f>
        <v/>
      </c>
    </row>
    <row r="70" spans="1:32" x14ac:dyDescent="0.25">
      <c r="A70" s="8" t="str">
        <f>_xlfn.CONCAT("001/",PEDIDOS[[#This Row],[Nota Fiscal]])</f>
        <v>001/000023067</v>
      </c>
      <c r="B70" s="8" t="str">
        <f>_xlfn.XLOOKUP(PEDIDOS[[#This Row],[NFS]],'[1]MOVIMENTAÇÃO DE ESTOQUE'!AA:AA,'[1]MOVIMENTAÇÃO DE ESTOQUE'!A:A,"NÃO",0,1)</f>
        <v>030004015</v>
      </c>
      <c r="C70" s="9">
        <f>IFERROR(SUM(PEDIDOS[[#This Row],[PRAZO 1]:[PRAZO 6]])/COUNT(PEDIDOS[[#This Row],[PRAZO 1]:[PRAZO 6]]),"VERIFICAR")</f>
        <v>35</v>
      </c>
      <c r="D70" s="9">
        <f>PEDIDOS[[#This Row],[PM]]/7</f>
        <v>5</v>
      </c>
      <c r="E70" s="10">
        <f>IF(PEDIDOS[[#This Row],[NUM DE SEMANA]]=4,0,_xlfn.XLOOKUP(PEDIDOS[[#This Row],[NUM DE SEMANA]],'[1]SEMANAS DE PAGAMENTO'!A:A,'[1]SEMANAS DE PAGAMENTO'!B:B,"VERIFICAR",-1))</f>
        <v>-5.0000000000000001E-4</v>
      </c>
      <c r="F70" s="11">
        <f t="shared" si="5"/>
        <v>28</v>
      </c>
      <c r="G70" s="11">
        <f t="shared" si="3"/>
        <v>35</v>
      </c>
      <c r="H70" s="11">
        <f t="shared" si="3"/>
        <v>42</v>
      </c>
      <c r="I70" s="11" t="str">
        <f t="shared" si="3"/>
        <v/>
      </c>
      <c r="J70" s="11" t="str">
        <f t="shared" si="3"/>
        <v/>
      </c>
      <c r="K70" s="11" t="str">
        <f t="shared" si="4"/>
        <v/>
      </c>
      <c r="L70" s="12" t="s">
        <v>317</v>
      </c>
      <c r="M70" s="12" t="s">
        <v>35</v>
      </c>
      <c r="N70" s="12" t="s">
        <v>318</v>
      </c>
      <c r="O70" s="12" t="s">
        <v>268</v>
      </c>
      <c r="P70" s="12" t="s">
        <v>54</v>
      </c>
      <c r="Q70" s="12" t="s">
        <v>319</v>
      </c>
      <c r="R70" s="13">
        <v>149.74288327599999</v>
      </c>
      <c r="S70" s="13">
        <v>582.70000000000005</v>
      </c>
      <c r="T70" s="13">
        <v>0</v>
      </c>
      <c r="U70" s="13">
        <v>0</v>
      </c>
      <c r="V70" s="13">
        <v>0</v>
      </c>
      <c r="W70" s="13">
        <v>0</v>
      </c>
      <c r="X70" s="12">
        <v>5</v>
      </c>
      <c r="Y70" s="12" t="s">
        <v>320</v>
      </c>
      <c r="Z70" s="12" t="s">
        <v>48</v>
      </c>
      <c r="AA70" s="12" t="s">
        <v>321</v>
      </c>
      <c r="AB70" s="14" t="str">
        <f>MID(PEDIDOS[[#This Row],[Vencimento(s)]],1,10)</f>
        <v>09/02/2026</v>
      </c>
      <c r="AC70" s="14" t="str">
        <f>MID(PEDIDOS[[#This Row],[Vencimento(s)]],14,10)</f>
        <v>16/02/2026</v>
      </c>
      <c r="AD70" s="14" t="str">
        <f>MID(PEDIDOS[[#This Row],[Vencimento(s)]],27,10)</f>
        <v>23/02/2026</v>
      </c>
      <c r="AE70" s="12" t="str">
        <f>MID(PEDIDOS[[#This Row],[Vencimento(s)]],40,10)</f>
        <v/>
      </c>
      <c r="AF70" s="12" t="str">
        <f>MID(PEDIDOS[[#This Row],[Vencimento(s)]],53,10)</f>
        <v/>
      </c>
    </row>
    <row r="71" spans="1:32" x14ac:dyDescent="0.25">
      <c r="A71" s="8" t="str">
        <f>_xlfn.CONCAT("001/",PEDIDOS[[#This Row],[Nota Fiscal]])</f>
        <v>001/000023096</v>
      </c>
      <c r="B71" s="8" t="str">
        <f>_xlfn.XLOOKUP(PEDIDOS[[#This Row],[NFS]],'[1]MOVIMENTAÇÃO DE ESTOQUE'!AA:AA,'[1]MOVIMENTAÇÃO DE ESTOQUE'!A:A,"NÃO",0,1)</f>
        <v>007002026</v>
      </c>
      <c r="C71" s="9">
        <f>IFERROR(SUM(PEDIDOS[[#This Row],[PRAZO 1]:[PRAZO 6]])/COUNT(PEDIDOS[[#This Row],[PRAZO 1]:[PRAZO 6]]),"VERIFICAR")</f>
        <v>35</v>
      </c>
      <c r="D71" s="9">
        <f>PEDIDOS[[#This Row],[PM]]/7</f>
        <v>5</v>
      </c>
      <c r="E71" s="10">
        <f>IF(PEDIDOS[[#This Row],[NUM DE SEMANA]]=4,0,_xlfn.XLOOKUP(PEDIDOS[[#This Row],[NUM DE SEMANA]],'[1]SEMANAS DE PAGAMENTO'!A:A,'[1]SEMANAS DE PAGAMENTO'!B:B,"VERIFICAR",-1))</f>
        <v>-5.0000000000000001E-4</v>
      </c>
      <c r="F71" s="11">
        <f t="shared" si="5"/>
        <v>28</v>
      </c>
      <c r="G71" s="11">
        <f t="shared" si="3"/>
        <v>42</v>
      </c>
      <c r="H71" s="11" t="str">
        <f t="shared" si="3"/>
        <v/>
      </c>
      <c r="I71" s="11" t="str">
        <f t="shared" si="3"/>
        <v/>
      </c>
      <c r="J71" s="11" t="str">
        <f t="shared" si="3"/>
        <v/>
      </c>
      <c r="K71" s="11" t="str">
        <f t="shared" si="4"/>
        <v/>
      </c>
      <c r="L71" s="12" t="s">
        <v>322</v>
      </c>
      <c r="M71" s="12" t="s">
        <v>59</v>
      </c>
      <c r="N71" s="12" t="s">
        <v>323</v>
      </c>
      <c r="O71" s="12" t="s">
        <v>204</v>
      </c>
      <c r="P71" s="12" t="s">
        <v>54</v>
      </c>
      <c r="Q71" s="12" t="s">
        <v>324</v>
      </c>
      <c r="R71" s="13">
        <v>650.41999999999996</v>
      </c>
      <c r="S71" s="13">
        <v>1664.45</v>
      </c>
      <c r="T71" s="13">
        <v>0</v>
      </c>
      <c r="U71" s="13">
        <v>0</v>
      </c>
      <c r="V71" s="13">
        <v>0</v>
      </c>
      <c r="W71" s="13">
        <v>0</v>
      </c>
      <c r="X71" s="12">
        <v>20</v>
      </c>
      <c r="Y71" s="12" t="s">
        <v>325</v>
      </c>
      <c r="Z71" s="12" t="s">
        <v>48</v>
      </c>
      <c r="AA71" s="12" t="s">
        <v>326</v>
      </c>
      <c r="AB71" s="14" t="str">
        <f>MID(PEDIDOS[[#This Row],[Vencimento(s)]],1,10)</f>
        <v>11/02/2026</v>
      </c>
      <c r="AC71" s="14" t="str">
        <f>MID(PEDIDOS[[#This Row],[Vencimento(s)]],14,10)</f>
        <v>25/02/2026</v>
      </c>
      <c r="AD71" s="14" t="str">
        <f>MID(PEDIDOS[[#This Row],[Vencimento(s)]],27,10)</f>
        <v/>
      </c>
      <c r="AE71" s="12" t="str">
        <f>MID(PEDIDOS[[#This Row],[Vencimento(s)]],40,10)</f>
        <v/>
      </c>
      <c r="AF71" s="12" t="str">
        <f>MID(PEDIDOS[[#This Row],[Vencimento(s)]],53,10)</f>
        <v/>
      </c>
    </row>
    <row r="72" spans="1:32" x14ac:dyDescent="0.25">
      <c r="A72" s="8" t="str">
        <f>_xlfn.CONCAT("001/",PEDIDOS[[#This Row],[Nota Fiscal]])</f>
        <v>001/000023139</v>
      </c>
      <c r="B72" s="8" t="str">
        <f>_xlfn.XLOOKUP(PEDIDOS[[#This Row],[NFS]],'[1]MOVIMENTAÇÃO DE ESTOQUE'!AA:AA,'[1]MOVIMENTAÇÃO DE ESTOQUE'!A:A,"NÃO",0,1)</f>
        <v>067004016</v>
      </c>
      <c r="C72" s="9">
        <f>IFERROR(SUM(PEDIDOS[[#This Row],[PRAZO 1]:[PRAZO 6]])/COUNT(PEDIDOS[[#This Row],[PRAZO 1]:[PRAZO 6]]),"VERIFICAR")</f>
        <v>28</v>
      </c>
      <c r="D72" s="9">
        <f>PEDIDOS[[#This Row],[PM]]/7</f>
        <v>4</v>
      </c>
      <c r="E72" s="10">
        <f>IF(PEDIDOS[[#This Row],[NUM DE SEMANA]]=4,0,_xlfn.XLOOKUP(PEDIDOS[[#This Row],[NUM DE SEMANA]],'[1]SEMANAS DE PAGAMENTO'!A:A,'[1]SEMANAS DE PAGAMENTO'!B:B,"VERIFICAR",-1))</f>
        <v>0</v>
      </c>
      <c r="F72" s="11">
        <f t="shared" si="5"/>
        <v>28</v>
      </c>
      <c r="G72" s="11" t="str">
        <f t="shared" si="3"/>
        <v/>
      </c>
      <c r="H72" s="11" t="str">
        <f t="shared" si="3"/>
        <v/>
      </c>
      <c r="I72" s="11" t="str">
        <f t="shared" si="3"/>
        <v/>
      </c>
      <c r="J72" s="11" t="str">
        <f t="shared" si="3"/>
        <v/>
      </c>
      <c r="K72" s="11" t="str">
        <f t="shared" si="4"/>
        <v/>
      </c>
      <c r="L72" s="12" t="s">
        <v>327</v>
      </c>
      <c r="M72" s="12" t="s">
        <v>328</v>
      </c>
      <c r="N72" s="12" t="s">
        <v>329</v>
      </c>
      <c r="O72" s="12" t="s">
        <v>174</v>
      </c>
      <c r="P72" s="12" t="s">
        <v>61</v>
      </c>
      <c r="Q72" s="12" t="s">
        <v>68</v>
      </c>
      <c r="R72" s="13">
        <v>2202.5158685199999</v>
      </c>
      <c r="S72" s="13">
        <v>8766</v>
      </c>
      <c r="T72" s="13">
        <v>0</v>
      </c>
      <c r="U72" s="13">
        <v>0</v>
      </c>
      <c r="V72" s="13">
        <v>0</v>
      </c>
      <c r="W72" s="13">
        <v>0</v>
      </c>
      <c r="X72" s="12">
        <v>100</v>
      </c>
      <c r="Y72" s="12" t="s">
        <v>330</v>
      </c>
      <c r="Z72" s="12" t="s">
        <v>48</v>
      </c>
      <c r="AA72" s="12" t="s">
        <v>331</v>
      </c>
      <c r="AB72" s="14" t="str">
        <f>MID(PEDIDOS[[#This Row],[Vencimento(s)]],1,10)</f>
        <v>13/02/2026</v>
      </c>
      <c r="AC72" s="14" t="str">
        <f>MID(PEDIDOS[[#This Row],[Vencimento(s)]],14,10)</f>
        <v/>
      </c>
      <c r="AD72" s="14" t="str">
        <f>MID(PEDIDOS[[#This Row],[Vencimento(s)]],27,10)</f>
        <v/>
      </c>
      <c r="AE72" s="12" t="str">
        <f>MID(PEDIDOS[[#This Row],[Vencimento(s)]],40,10)</f>
        <v/>
      </c>
      <c r="AF72" s="12" t="str">
        <f>MID(PEDIDOS[[#This Row],[Vencimento(s)]],53,10)</f>
        <v/>
      </c>
    </row>
    <row r="73" spans="1:32" x14ac:dyDescent="0.25">
      <c r="A73" s="8" t="str">
        <f>_xlfn.CONCAT("001/",PEDIDOS[[#This Row],[Nota Fiscal]])</f>
        <v>001/000023054</v>
      </c>
      <c r="B73" s="8" t="str">
        <f>_xlfn.XLOOKUP(PEDIDOS[[#This Row],[NFS]],'[1]MOVIMENTAÇÃO DE ESTOQUE'!AA:AA,'[1]MOVIMENTAÇÃO DE ESTOQUE'!A:A,"NÃO",0,1)</f>
        <v>072004003</v>
      </c>
      <c r="C73" s="9">
        <f>IFERROR(SUM(PEDIDOS[[#This Row],[PRAZO 1]:[PRAZO 6]])/COUNT(PEDIDOS[[#This Row],[PRAZO 1]:[PRAZO 6]]),"VERIFICAR")</f>
        <v>28</v>
      </c>
      <c r="D73" s="9">
        <f>PEDIDOS[[#This Row],[PM]]/7</f>
        <v>4</v>
      </c>
      <c r="E73" s="10">
        <f>IF(PEDIDOS[[#This Row],[NUM DE SEMANA]]=4,0,_xlfn.XLOOKUP(PEDIDOS[[#This Row],[NUM DE SEMANA]],'[1]SEMANAS DE PAGAMENTO'!A:A,'[1]SEMANAS DE PAGAMENTO'!B:B,"VERIFICAR",-1))</f>
        <v>0</v>
      </c>
      <c r="F73" s="11">
        <f t="shared" si="5"/>
        <v>28</v>
      </c>
      <c r="G73" s="11" t="str">
        <f t="shared" si="3"/>
        <v/>
      </c>
      <c r="H73" s="11" t="str">
        <f t="shared" si="3"/>
        <v/>
      </c>
      <c r="I73" s="11" t="str">
        <f t="shared" si="3"/>
        <v/>
      </c>
      <c r="J73" s="11" t="str">
        <f t="shared" si="3"/>
        <v/>
      </c>
      <c r="K73" s="11" t="str">
        <f t="shared" si="4"/>
        <v/>
      </c>
      <c r="L73" s="12" t="s">
        <v>332</v>
      </c>
      <c r="M73" s="12" t="s">
        <v>59</v>
      </c>
      <c r="N73" s="12" t="s">
        <v>333</v>
      </c>
      <c r="O73" s="12" t="s">
        <v>238</v>
      </c>
      <c r="P73" s="12" t="s">
        <v>61</v>
      </c>
      <c r="Q73" s="12" t="s">
        <v>68</v>
      </c>
      <c r="R73" s="13">
        <v>112.0991666665</v>
      </c>
      <c r="S73" s="13">
        <v>379.45</v>
      </c>
      <c r="T73" s="13">
        <v>0</v>
      </c>
      <c r="U73" s="13">
        <v>0</v>
      </c>
      <c r="V73" s="13">
        <v>0</v>
      </c>
      <c r="W73" s="13">
        <v>0</v>
      </c>
      <c r="X73" s="12">
        <v>5</v>
      </c>
      <c r="Y73" s="12" t="s">
        <v>334</v>
      </c>
      <c r="Z73" s="12" t="s">
        <v>48</v>
      </c>
      <c r="AA73" s="12" t="s">
        <v>240</v>
      </c>
      <c r="AB73" s="14" t="str">
        <f>MID(PEDIDOS[[#This Row],[Vencimento(s)]],1,10)</f>
        <v>06/02/2026</v>
      </c>
      <c r="AC73" s="14" t="str">
        <f>MID(PEDIDOS[[#This Row],[Vencimento(s)]],14,10)</f>
        <v/>
      </c>
      <c r="AD73" s="14" t="str">
        <f>MID(PEDIDOS[[#This Row],[Vencimento(s)]],27,10)</f>
        <v/>
      </c>
      <c r="AE73" s="12" t="str">
        <f>MID(PEDIDOS[[#This Row],[Vencimento(s)]],40,10)</f>
        <v/>
      </c>
      <c r="AF73" s="12" t="str">
        <f>MID(PEDIDOS[[#This Row],[Vencimento(s)]],53,10)</f>
        <v/>
      </c>
    </row>
    <row r="74" spans="1:32" x14ac:dyDescent="0.25">
      <c r="A74" s="8" t="str">
        <f>_xlfn.CONCAT("001/",PEDIDOS[[#This Row],[Nota Fiscal]])</f>
        <v>001/000023148</v>
      </c>
      <c r="B74" s="8" t="str">
        <f>_xlfn.XLOOKUP(PEDIDOS[[#This Row],[NFS]],'[1]MOVIMENTAÇÃO DE ESTOQUE'!AA:AA,'[1]MOVIMENTAÇÃO DE ESTOQUE'!A:A,"NÃO",0,1)</f>
        <v>061004005</v>
      </c>
      <c r="C74" s="9">
        <f>IFERROR(SUM(PEDIDOS[[#This Row],[PRAZO 1]:[PRAZO 6]])/COUNT(PEDIDOS[[#This Row],[PRAZO 1]:[PRAZO 6]]),"VERIFICAR")</f>
        <v>42</v>
      </c>
      <c r="D74" s="9">
        <f>PEDIDOS[[#This Row],[PM]]/7</f>
        <v>6</v>
      </c>
      <c r="E74" s="10">
        <f>IF(PEDIDOS[[#This Row],[NUM DE SEMANA]]=4,0,_xlfn.XLOOKUP(PEDIDOS[[#This Row],[NUM DE SEMANA]],'[1]SEMANAS DE PAGAMENTO'!A:A,'[1]SEMANAS DE PAGAMENTO'!B:B,"VERIFICAR",-1))</f>
        <v>-1E-3</v>
      </c>
      <c r="F74" s="11">
        <f t="shared" si="5"/>
        <v>42</v>
      </c>
      <c r="G74" s="11" t="str">
        <f t="shared" si="3"/>
        <v/>
      </c>
      <c r="H74" s="11" t="str">
        <f t="shared" si="3"/>
        <v/>
      </c>
      <c r="I74" s="11" t="str">
        <f t="shared" si="3"/>
        <v/>
      </c>
      <c r="J74" s="11" t="str">
        <f t="shared" si="3"/>
        <v/>
      </c>
      <c r="K74" s="11" t="str">
        <f t="shared" si="4"/>
        <v/>
      </c>
      <c r="L74" s="12" t="s">
        <v>335</v>
      </c>
      <c r="M74" s="12" t="s">
        <v>35</v>
      </c>
      <c r="N74" s="12" t="s">
        <v>336</v>
      </c>
      <c r="O74" s="12" t="s">
        <v>149</v>
      </c>
      <c r="P74" s="12" t="s">
        <v>38</v>
      </c>
      <c r="Q74" s="12" t="s">
        <v>205</v>
      </c>
      <c r="R74" s="13">
        <v>20496.859258449</v>
      </c>
      <c r="S74" s="13">
        <v>59340.45</v>
      </c>
      <c r="T74" s="13">
        <v>0</v>
      </c>
      <c r="U74" s="13">
        <v>0</v>
      </c>
      <c r="V74" s="13">
        <v>0</v>
      </c>
      <c r="W74" s="13">
        <v>0</v>
      </c>
      <c r="X74" s="12">
        <v>15</v>
      </c>
      <c r="Y74" s="12" t="s">
        <v>337</v>
      </c>
      <c r="Z74" s="12" t="s">
        <v>48</v>
      </c>
      <c r="AA74" s="12" t="s">
        <v>235</v>
      </c>
      <c r="AB74" s="14" t="str">
        <f>MID(PEDIDOS[[#This Row],[Vencimento(s)]],1,10)</f>
        <v>02/03/2026</v>
      </c>
      <c r="AC74" s="14" t="str">
        <f>MID(PEDIDOS[[#This Row],[Vencimento(s)]],14,10)</f>
        <v/>
      </c>
      <c r="AD74" s="14" t="str">
        <f>MID(PEDIDOS[[#This Row],[Vencimento(s)]],27,10)</f>
        <v/>
      </c>
      <c r="AE74" s="12" t="str">
        <f>MID(PEDIDOS[[#This Row],[Vencimento(s)]],40,10)</f>
        <v/>
      </c>
      <c r="AF74" s="12" t="str">
        <f>MID(PEDIDOS[[#This Row],[Vencimento(s)]],53,10)</f>
        <v/>
      </c>
    </row>
    <row r="75" spans="1:32" x14ac:dyDescent="0.25">
      <c r="A75" s="8" t="str">
        <f>_xlfn.CONCAT("001/",PEDIDOS[[#This Row],[Nota Fiscal]])</f>
        <v>001/000023033</v>
      </c>
      <c r="B75" s="8" t="str">
        <f>_xlfn.XLOOKUP(PEDIDOS[[#This Row],[NFS]],'[1]MOVIMENTAÇÃO DE ESTOQUE'!AA:AA,'[1]MOVIMENTAÇÃO DE ESTOQUE'!A:A,"NÃO",0,1)</f>
        <v>030004010</v>
      </c>
      <c r="C75" s="9">
        <f>IFERROR(SUM(PEDIDOS[[#This Row],[PRAZO 1]:[PRAZO 6]])/COUNT(PEDIDOS[[#This Row],[PRAZO 1]:[PRAZO 6]]),"VERIFICAR")</f>
        <v>28</v>
      </c>
      <c r="D75" s="9">
        <f>PEDIDOS[[#This Row],[PM]]/7</f>
        <v>4</v>
      </c>
      <c r="E75" s="10">
        <f>IF(PEDIDOS[[#This Row],[NUM DE SEMANA]]=4,0,_xlfn.XLOOKUP(PEDIDOS[[#This Row],[NUM DE SEMANA]],'[1]SEMANAS DE PAGAMENTO'!A:A,'[1]SEMANAS DE PAGAMENTO'!B:B,"VERIFICAR",-1))</f>
        <v>0</v>
      </c>
      <c r="F75" s="11">
        <f t="shared" si="5"/>
        <v>28</v>
      </c>
      <c r="G75" s="11" t="str">
        <f t="shared" si="3"/>
        <v/>
      </c>
      <c r="H75" s="11" t="str">
        <f t="shared" si="3"/>
        <v/>
      </c>
      <c r="I75" s="11" t="str">
        <f t="shared" si="3"/>
        <v/>
      </c>
      <c r="J75" s="11" t="str">
        <f t="shared" si="3"/>
        <v/>
      </c>
      <c r="K75" s="11" t="str">
        <f t="shared" si="4"/>
        <v/>
      </c>
      <c r="L75" s="12" t="s">
        <v>338</v>
      </c>
      <c r="M75" s="12" t="s">
        <v>59</v>
      </c>
      <c r="N75" s="12" t="s">
        <v>339</v>
      </c>
      <c r="O75" s="12" t="s">
        <v>265</v>
      </c>
      <c r="P75" s="12" t="s">
        <v>61</v>
      </c>
      <c r="Q75" s="12" t="s">
        <v>340</v>
      </c>
      <c r="R75" s="13">
        <v>1844.811118821</v>
      </c>
      <c r="S75" s="13">
        <v>5809.02</v>
      </c>
      <c r="T75" s="13">
        <v>0</v>
      </c>
      <c r="U75" s="13">
        <v>0</v>
      </c>
      <c r="V75" s="13">
        <v>0</v>
      </c>
      <c r="W75" s="13">
        <v>0</v>
      </c>
      <c r="X75" s="12">
        <v>2</v>
      </c>
      <c r="Y75" s="12" t="s">
        <v>341</v>
      </c>
      <c r="Z75" s="12" t="s">
        <v>48</v>
      </c>
      <c r="AA75" s="12" t="s">
        <v>342</v>
      </c>
      <c r="AB75" s="14" t="str">
        <f>MID(PEDIDOS[[#This Row],[Vencimento(s)]],1,10)</f>
        <v>05/02/2026</v>
      </c>
      <c r="AC75" s="14" t="str">
        <f>MID(PEDIDOS[[#This Row],[Vencimento(s)]],14,10)</f>
        <v/>
      </c>
      <c r="AD75" s="14" t="str">
        <f>MID(PEDIDOS[[#This Row],[Vencimento(s)]],27,10)</f>
        <v/>
      </c>
      <c r="AE75" s="12" t="str">
        <f>MID(PEDIDOS[[#This Row],[Vencimento(s)]],40,10)</f>
        <v/>
      </c>
      <c r="AF75" s="12" t="str">
        <f>MID(PEDIDOS[[#This Row],[Vencimento(s)]],53,10)</f>
        <v/>
      </c>
    </row>
    <row r="76" spans="1:32" x14ac:dyDescent="0.25">
      <c r="A76" s="8" t="str">
        <f>_xlfn.CONCAT("001/",PEDIDOS[[#This Row],[Nota Fiscal]])</f>
        <v>001/000022987</v>
      </c>
      <c r="B76" s="8" t="str">
        <f>_xlfn.XLOOKUP(PEDIDOS[[#This Row],[NFS]],'[1]MOVIMENTAÇÃO DE ESTOQUE'!AA:AA,'[1]MOVIMENTAÇÃO DE ESTOQUE'!A:A,"NÃO",0,1)</f>
        <v>004003001</v>
      </c>
      <c r="C76" s="9">
        <f>IFERROR(SUM(PEDIDOS[[#This Row],[PRAZO 1]:[PRAZO 6]])/COUNT(PEDIDOS[[#This Row],[PRAZO 1]:[PRAZO 6]]),"VERIFICAR")</f>
        <v>35</v>
      </c>
      <c r="D76" s="9">
        <f>PEDIDOS[[#This Row],[PM]]/7</f>
        <v>5</v>
      </c>
      <c r="E76" s="10">
        <f>IF(PEDIDOS[[#This Row],[NUM DE SEMANA]]=4,0,_xlfn.XLOOKUP(PEDIDOS[[#This Row],[NUM DE SEMANA]],'[1]SEMANAS DE PAGAMENTO'!A:A,'[1]SEMANAS DE PAGAMENTO'!B:B,"VERIFICAR",-1))</f>
        <v>-5.0000000000000001E-4</v>
      </c>
      <c r="F76" s="11">
        <f t="shared" si="5"/>
        <v>28</v>
      </c>
      <c r="G76" s="11">
        <f t="shared" si="3"/>
        <v>35</v>
      </c>
      <c r="H76" s="11">
        <f t="shared" si="3"/>
        <v>42</v>
      </c>
      <c r="I76" s="11" t="str">
        <f t="shared" si="3"/>
        <v/>
      </c>
      <c r="J76" s="11" t="str">
        <f t="shared" si="3"/>
        <v/>
      </c>
      <c r="K76" s="11" t="str">
        <f t="shared" si="4"/>
        <v/>
      </c>
      <c r="L76" s="12" t="s">
        <v>343</v>
      </c>
      <c r="M76" s="12" t="s">
        <v>35</v>
      </c>
      <c r="N76" s="12" t="s">
        <v>344</v>
      </c>
      <c r="O76" s="12" t="s">
        <v>275</v>
      </c>
      <c r="P76" s="12" t="s">
        <v>111</v>
      </c>
      <c r="Q76" s="12" t="s">
        <v>345</v>
      </c>
      <c r="R76" s="13">
        <v>12196.721333332</v>
      </c>
      <c r="S76" s="13">
        <v>32401.599999999999</v>
      </c>
      <c r="T76" s="13">
        <v>0</v>
      </c>
      <c r="U76" s="13">
        <v>0</v>
      </c>
      <c r="V76" s="13">
        <v>0</v>
      </c>
      <c r="W76" s="13">
        <v>0</v>
      </c>
      <c r="X76" s="12">
        <v>40</v>
      </c>
      <c r="Y76" s="12" t="s">
        <v>63</v>
      </c>
      <c r="Z76" s="12" t="s">
        <v>48</v>
      </c>
      <c r="AA76" s="12" t="s">
        <v>279</v>
      </c>
      <c r="AB76" s="14" t="str">
        <f>MID(PEDIDOS[[#This Row],[Vencimento(s)]],1,10)</f>
        <v>03/02/2026</v>
      </c>
      <c r="AC76" s="14" t="str">
        <f>MID(PEDIDOS[[#This Row],[Vencimento(s)]],14,10)</f>
        <v>10/02/2026</v>
      </c>
      <c r="AD76" s="14" t="str">
        <f>MID(PEDIDOS[[#This Row],[Vencimento(s)]],27,10)</f>
        <v>17/02/2026</v>
      </c>
      <c r="AE76" s="12" t="str">
        <f>MID(PEDIDOS[[#This Row],[Vencimento(s)]],40,10)</f>
        <v/>
      </c>
      <c r="AF76" s="12" t="str">
        <f>MID(PEDIDOS[[#This Row],[Vencimento(s)]],53,10)</f>
        <v/>
      </c>
    </row>
    <row r="77" spans="1:32" x14ac:dyDescent="0.25">
      <c r="A77" s="8" t="str">
        <f>_xlfn.CONCAT("001/",PEDIDOS[[#This Row],[Nota Fiscal]])</f>
        <v>001/000023157</v>
      </c>
      <c r="B77" s="8" t="str">
        <f>_xlfn.XLOOKUP(PEDIDOS[[#This Row],[NFS]],'[1]MOVIMENTAÇÃO DE ESTOQUE'!AA:AA,'[1]MOVIMENTAÇÃO DE ESTOQUE'!A:A,"NÃO",0,1)</f>
        <v>001004063</v>
      </c>
      <c r="C77" s="9">
        <f>IFERROR(SUM(PEDIDOS[[#This Row],[PRAZO 1]:[PRAZO 6]])/COUNT(PEDIDOS[[#This Row],[PRAZO 1]:[PRAZO 6]]),"VERIFICAR")</f>
        <v>32</v>
      </c>
      <c r="D77" s="9">
        <f>PEDIDOS[[#This Row],[PM]]/7</f>
        <v>4.5714285714285712</v>
      </c>
      <c r="E77" s="10">
        <f>IF(PEDIDOS[[#This Row],[NUM DE SEMANA]]=4,0,_xlfn.XLOOKUP(PEDIDOS[[#This Row],[NUM DE SEMANA]],'[1]SEMANAS DE PAGAMENTO'!A:A,'[1]SEMANAS DE PAGAMENTO'!B:B,"VERIFICAR",-1))</f>
        <v>5.0000000000000001E-4</v>
      </c>
      <c r="F77" s="11">
        <f t="shared" si="5"/>
        <v>32</v>
      </c>
      <c r="G77" s="11" t="str">
        <f t="shared" si="3"/>
        <v/>
      </c>
      <c r="H77" s="11" t="str">
        <f t="shared" si="3"/>
        <v/>
      </c>
      <c r="I77" s="11" t="str">
        <f t="shared" si="3"/>
        <v/>
      </c>
      <c r="J77" s="11" t="str">
        <f t="shared" si="3"/>
        <v/>
      </c>
      <c r="K77" s="11" t="str">
        <f t="shared" si="4"/>
        <v/>
      </c>
      <c r="L77" s="12" t="s">
        <v>346</v>
      </c>
      <c r="M77" s="12" t="s">
        <v>35</v>
      </c>
      <c r="N77" s="12" t="s">
        <v>347</v>
      </c>
      <c r="O77" s="12" t="s">
        <v>149</v>
      </c>
      <c r="P77" s="12" t="s">
        <v>45</v>
      </c>
      <c r="Q77" s="12" t="s">
        <v>46</v>
      </c>
      <c r="R77" s="13">
        <v>583.59065394890001</v>
      </c>
      <c r="S77" s="13">
        <v>2091.7199999999998</v>
      </c>
      <c r="T77" s="13">
        <v>0</v>
      </c>
      <c r="U77" s="13">
        <v>0</v>
      </c>
      <c r="V77" s="13">
        <v>0</v>
      </c>
      <c r="W77" s="13">
        <v>0</v>
      </c>
      <c r="X77" s="12">
        <v>1</v>
      </c>
      <c r="Y77" s="12" t="s">
        <v>348</v>
      </c>
      <c r="Z77" s="12" t="s">
        <v>48</v>
      </c>
      <c r="AA77" s="12" t="s">
        <v>349</v>
      </c>
      <c r="AB77" s="14" t="str">
        <f>MID(PEDIDOS[[#This Row],[Vencimento(s)]],1,10)</f>
        <v>20/02/2026</v>
      </c>
      <c r="AC77" s="14" t="str">
        <f>MID(PEDIDOS[[#This Row],[Vencimento(s)]],14,10)</f>
        <v/>
      </c>
      <c r="AD77" s="14" t="str">
        <f>MID(PEDIDOS[[#This Row],[Vencimento(s)]],27,10)</f>
        <v/>
      </c>
      <c r="AE77" s="12" t="str">
        <f>MID(PEDIDOS[[#This Row],[Vencimento(s)]],40,10)</f>
        <v/>
      </c>
      <c r="AF77" s="12" t="str">
        <f>MID(PEDIDOS[[#This Row],[Vencimento(s)]],53,10)</f>
        <v/>
      </c>
    </row>
    <row r="78" spans="1:32" x14ac:dyDescent="0.25">
      <c r="A78" s="8" t="str">
        <f>_xlfn.CONCAT("001/",PEDIDOS[[#This Row],[Nota Fiscal]])</f>
        <v>001/000022966</v>
      </c>
      <c r="B78" s="8" t="str">
        <f>_xlfn.XLOOKUP(PEDIDOS[[#This Row],[NFS]],'[1]MOVIMENTAÇÃO DE ESTOQUE'!AA:AA,'[1]MOVIMENTAÇÃO DE ESTOQUE'!A:A,"NÃO",0,1)</f>
        <v>007002001</v>
      </c>
      <c r="C78" s="9">
        <f>IFERROR(SUM(PEDIDOS[[#This Row],[PRAZO 1]:[PRAZO 6]])/COUNT(PEDIDOS[[#This Row],[PRAZO 1]:[PRAZO 6]]),"VERIFICAR")</f>
        <v>85</v>
      </c>
      <c r="D78" s="9">
        <f>PEDIDOS[[#This Row],[PM]]/7</f>
        <v>12.142857142857142</v>
      </c>
      <c r="E78" s="10">
        <f>IF(PEDIDOS[[#This Row],[NUM DE SEMANA]]=4,0,_xlfn.XLOOKUP(PEDIDOS[[#This Row],[NUM DE SEMANA]],'[1]SEMANAS DE PAGAMENTO'!A:A,'[1]SEMANAS DE PAGAMENTO'!B:B,"VERIFICAR",-1))</f>
        <v>-4.0000000000000001E-3</v>
      </c>
      <c r="F78" s="11">
        <f t="shared" si="5"/>
        <v>85</v>
      </c>
      <c r="G78" s="11" t="str">
        <f t="shared" si="3"/>
        <v/>
      </c>
      <c r="H78" s="11" t="str">
        <f t="shared" si="3"/>
        <v/>
      </c>
      <c r="I78" s="11" t="str">
        <f t="shared" si="3"/>
        <v/>
      </c>
      <c r="J78" s="11" t="str">
        <f t="shared" si="3"/>
        <v/>
      </c>
      <c r="K78" s="11" t="str">
        <f t="shared" si="4"/>
        <v/>
      </c>
      <c r="L78" s="12" t="s">
        <v>350</v>
      </c>
      <c r="M78" s="12" t="s">
        <v>328</v>
      </c>
      <c r="N78" s="12" t="s">
        <v>351</v>
      </c>
      <c r="O78" s="12" t="s">
        <v>352</v>
      </c>
      <c r="P78" s="12" t="s">
        <v>38</v>
      </c>
      <c r="Q78" s="12" t="s">
        <v>353</v>
      </c>
      <c r="R78" s="13">
        <v>80412.479999999996</v>
      </c>
      <c r="S78" s="13">
        <v>143553.60000000001</v>
      </c>
      <c r="T78" s="13">
        <v>0</v>
      </c>
      <c r="U78" s="13">
        <v>0</v>
      </c>
      <c r="V78" s="13">
        <v>0</v>
      </c>
      <c r="W78" s="13">
        <v>0</v>
      </c>
      <c r="X78" s="12">
        <v>4320</v>
      </c>
      <c r="Y78" s="12" t="s">
        <v>354</v>
      </c>
      <c r="Z78" s="12" t="s">
        <v>41</v>
      </c>
      <c r="AA78" s="12" t="s">
        <v>355</v>
      </c>
      <c r="AB78" s="14" t="str">
        <f>MID(PEDIDOS[[#This Row],[Vencimento(s)]],1,10)</f>
        <v>31/03/2026</v>
      </c>
      <c r="AC78" s="14" t="str">
        <f>MID(PEDIDOS[[#This Row],[Vencimento(s)]],14,10)</f>
        <v/>
      </c>
      <c r="AD78" s="14" t="str">
        <f>MID(PEDIDOS[[#This Row],[Vencimento(s)]],27,10)</f>
        <v/>
      </c>
      <c r="AE78" s="12" t="str">
        <f>MID(PEDIDOS[[#This Row],[Vencimento(s)]],40,10)</f>
        <v/>
      </c>
      <c r="AF78" s="12" t="str">
        <f>MID(PEDIDOS[[#This Row],[Vencimento(s)]],53,10)</f>
        <v/>
      </c>
    </row>
    <row r="79" spans="1:32" x14ac:dyDescent="0.25">
      <c r="A79" s="8" t="str">
        <f>_xlfn.CONCAT("001/",PEDIDOS[[#This Row],[Nota Fiscal]])</f>
        <v>001/000023097</v>
      </c>
      <c r="B79" s="8" t="str">
        <f>_xlfn.XLOOKUP(PEDIDOS[[#This Row],[NFS]],'[1]MOVIMENTAÇÃO DE ESTOQUE'!AA:AA,'[1]MOVIMENTAÇÃO DE ESTOQUE'!A:A,"NÃO",0,1)</f>
        <v>090004023</v>
      </c>
      <c r="C79" s="9">
        <f>IFERROR(SUM(PEDIDOS[[#This Row],[PRAZO 1]:[PRAZO 6]])/COUNT(PEDIDOS[[#This Row],[PRAZO 1]:[PRAZO 6]]),"VERIFICAR")</f>
        <v>30</v>
      </c>
      <c r="D79" s="9">
        <f>PEDIDOS[[#This Row],[PM]]/7</f>
        <v>4.2857142857142856</v>
      </c>
      <c r="E79" s="10">
        <f>IF(PEDIDOS[[#This Row],[NUM DE SEMANA]]=4,0,_xlfn.XLOOKUP(PEDIDOS[[#This Row],[NUM DE SEMANA]],'[1]SEMANAS DE PAGAMENTO'!A:A,'[1]SEMANAS DE PAGAMENTO'!B:B,"VERIFICAR",-1))</f>
        <v>5.0000000000000001E-4</v>
      </c>
      <c r="F79" s="11">
        <f t="shared" si="5"/>
        <v>30</v>
      </c>
      <c r="G79" s="11" t="str">
        <f t="shared" si="3"/>
        <v/>
      </c>
      <c r="H79" s="11" t="str">
        <f t="shared" si="3"/>
        <v/>
      </c>
      <c r="I79" s="11" t="str">
        <f t="shared" si="3"/>
        <v/>
      </c>
      <c r="J79" s="11" t="str">
        <f t="shared" si="3"/>
        <v/>
      </c>
      <c r="K79" s="11" t="str">
        <f t="shared" si="4"/>
        <v/>
      </c>
      <c r="L79" s="12" t="s">
        <v>356</v>
      </c>
      <c r="M79" s="12" t="s">
        <v>35</v>
      </c>
      <c r="N79" s="12" t="s">
        <v>357</v>
      </c>
      <c r="O79" s="12" t="s">
        <v>204</v>
      </c>
      <c r="P79" s="12" t="s">
        <v>54</v>
      </c>
      <c r="Q79" s="12" t="s">
        <v>358</v>
      </c>
      <c r="R79" s="13">
        <v>2500.7879814373</v>
      </c>
      <c r="S79" s="13">
        <v>6281.21</v>
      </c>
      <c r="T79" s="13">
        <v>0</v>
      </c>
      <c r="U79" s="13">
        <v>0</v>
      </c>
      <c r="V79" s="13">
        <v>0</v>
      </c>
      <c r="W79" s="13">
        <v>0</v>
      </c>
      <c r="X79" s="12">
        <v>21</v>
      </c>
      <c r="Y79" s="12" t="s">
        <v>359</v>
      </c>
      <c r="Z79" s="12" t="s">
        <v>48</v>
      </c>
      <c r="AA79" s="12" t="s">
        <v>331</v>
      </c>
      <c r="AB79" s="14" t="str">
        <f>MID(PEDIDOS[[#This Row],[Vencimento(s)]],1,10)</f>
        <v>13/02/2026</v>
      </c>
      <c r="AC79" s="14" t="str">
        <f>MID(PEDIDOS[[#This Row],[Vencimento(s)]],14,10)</f>
        <v/>
      </c>
      <c r="AD79" s="14" t="str">
        <f>MID(PEDIDOS[[#This Row],[Vencimento(s)]],27,10)</f>
        <v/>
      </c>
      <c r="AE79" s="12" t="str">
        <f>MID(PEDIDOS[[#This Row],[Vencimento(s)]],40,10)</f>
        <v/>
      </c>
      <c r="AF79" s="12" t="str">
        <f>MID(PEDIDOS[[#This Row],[Vencimento(s)]],53,10)</f>
        <v/>
      </c>
    </row>
    <row r="80" spans="1:32" x14ac:dyDescent="0.25">
      <c r="A80" s="8" t="str">
        <f>_xlfn.CONCAT("001/",PEDIDOS[[#This Row],[Nota Fiscal]])</f>
        <v>001/000022989</v>
      </c>
      <c r="B80" s="8" t="str">
        <f>_xlfn.XLOOKUP(PEDIDOS[[#This Row],[NFS]],'[1]MOVIMENTAÇÃO DE ESTOQUE'!AA:AA,'[1]MOVIMENTAÇÃO DE ESTOQUE'!A:A,"NÃO",0,1)</f>
        <v>008008001</v>
      </c>
      <c r="C80" s="9">
        <f>IFERROR(SUM(PEDIDOS[[#This Row],[PRAZO 1]:[PRAZO 6]])/COUNT(PEDIDOS[[#This Row],[PRAZO 1]:[PRAZO 6]]),"VERIFICAR")</f>
        <v>30</v>
      </c>
      <c r="D80" s="9">
        <f>PEDIDOS[[#This Row],[PM]]/7</f>
        <v>4.2857142857142856</v>
      </c>
      <c r="E80" s="10">
        <f>IF(PEDIDOS[[#This Row],[NUM DE SEMANA]]=4,0,_xlfn.XLOOKUP(PEDIDOS[[#This Row],[NUM DE SEMANA]],'[1]SEMANAS DE PAGAMENTO'!A:A,'[1]SEMANAS DE PAGAMENTO'!B:B,"VERIFICAR",-1))</f>
        <v>5.0000000000000001E-4</v>
      </c>
      <c r="F80" s="11">
        <f t="shared" si="5"/>
        <v>30</v>
      </c>
      <c r="G80" s="11" t="str">
        <f t="shared" si="3"/>
        <v/>
      </c>
      <c r="H80" s="11" t="str">
        <f t="shared" si="3"/>
        <v/>
      </c>
      <c r="I80" s="11" t="str">
        <f t="shared" si="3"/>
        <v/>
      </c>
      <c r="J80" s="11" t="str">
        <f t="shared" si="3"/>
        <v/>
      </c>
      <c r="K80" s="11" t="str">
        <f t="shared" si="4"/>
        <v/>
      </c>
      <c r="L80" s="12" t="s">
        <v>360</v>
      </c>
      <c r="M80" s="12" t="s">
        <v>59</v>
      </c>
      <c r="N80" s="12" t="s">
        <v>361</v>
      </c>
      <c r="O80" s="12" t="s">
        <v>275</v>
      </c>
      <c r="P80" s="12" t="s">
        <v>54</v>
      </c>
      <c r="Q80" s="12" t="s">
        <v>362</v>
      </c>
      <c r="R80" s="13">
        <v>262.99349446100001</v>
      </c>
      <c r="S80" s="13">
        <v>1079.3</v>
      </c>
      <c r="T80" s="13">
        <v>0</v>
      </c>
      <c r="U80" s="13">
        <v>0</v>
      </c>
      <c r="V80" s="13">
        <v>0</v>
      </c>
      <c r="W80" s="13">
        <v>0</v>
      </c>
      <c r="X80" s="12">
        <v>1</v>
      </c>
      <c r="Y80" s="12" t="s">
        <v>363</v>
      </c>
      <c r="Z80" s="12" t="s">
        <v>41</v>
      </c>
      <c r="AA80" s="12" t="s">
        <v>342</v>
      </c>
      <c r="AB80" s="14" t="str">
        <f>MID(PEDIDOS[[#This Row],[Vencimento(s)]],1,10)</f>
        <v>05/02/2026</v>
      </c>
      <c r="AC80" s="14" t="str">
        <f>MID(PEDIDOS[[#This Row],[Vencimento(s)]],14,10)</f>
        <v/>
      </c>
      <c r="AD80" s="14" t="str">
        <f>MID(PEDIDOS[[#This Row],[Vencimento(s)]],27,10)</f>
        <v/>
      </c>
      <c r="AE80" s="12" t="str">
        <f>MID(PEDIDOS[[#This Row],[Vencimento(s)]],40,10)</f>
        <v/>
      </c>
      <c r="AF80" s="12" t="str">
        <f>MID(PEDIDOS[[#This Row],[Vencimento(s)]],53,10)</f>
        <v/>
      </c>
    </row>
    <row r="81" spans="1:32" x14ac:dyDescent="0.25">
      <c r="A81" s="8" t="str">
        <f>_xlfn.CONCAT("001/",PEDIDOS[[#This Row],[Nota Fiscal]])</f>
        <v>001/000023174</v>
      </c>
      <c r="B81" s="8" t="str">
        <f>_xlfn.XLOOKUP(PEDIDOS[[#This Row],[NFS]],'[1]MOVIMENTAÇÃO DE ESTOQUE'!AA:AA,'[1]MOVIMENTAÇÃO DE ESTOQUE'!A:A,"NÃO",0,1)</f>
        <v>002004012</v>
      </c>
      <c r="C81" s="9">
        <f>IFERROR(SUM(PEDIDOS[[#This Row],[PRAZO 1]:[PRAZO 6]])/COUNT(PEDIDOS[[#This Row],[PRAZO 1]:[PRAZO 6]]),"VERIFICAR")</f>
        <v>28</v>
      </c>
      <c r="D81" s="9">
        <f>PEDIDOS[[#This Row],[PM]]/7</f>
        <v>4</v>
      </c>
      <c r="E81" s="10">
        <f>IF(PEDIDOS[[#This Row],[NUM DE SEMANA]]=4,0,_xlfn.XLOOKUP(PEDIDOS[[#This Row],[NUM DE SEMANA]],'[1]SEMANAS DE PAGAMENTO'!A:A,'[1]SEMANAS DE PAGAMENTO'!B:B,"VERIFICAR",-1))</f>
        <v>0</v>
      </c>
      <c r="F81" s="11">
        <f t="shared" si="5"/>
        <v>28</v>
      </c>
      <c r="G81" s="11" t="str">
        <f t="shared" si="3"/>
        <v/>
      </c>
      <c r="H81" s="11" t="str">
        <f t="shared" si="3"/>
        <v/>
      </c>
      <c r="I81" s="11" t="str">
        <f t="shared" si="3"/>
        <v/>
      </c>
      <c r="J81" s="11" t="str">
        <f t="shared" si="3"/>
        <v/>
      </c>
      <c r="K81" s="11" t="str">
        <f t="shared" si="4"/>
        <v/>
      </c>
      <c r="L81" s="12" t="s">
        <v>364</v>
      </c>
      <c r="M81" s="12" t="s">
        <v>59</v>
      </c>
      <c r="N81" s="12" t="s">
        <v>365</v>
      </c>
      <c r="O81" s="12" t="s">
        <v>119</v>
      </c>
      <c r="P81" s="12" t="s">
        <v>38</v>
      </c>
      <c r="Q81" s="12" t="s">
        <v>366</v>
      </c>
      <c r="R81" s="13">
        <v>7332.0490631231996</v>
      </c>
      <c r="S81" s="13">
        <v>17768.53</v>
      </c>
      <c r="T81" s="13">
        <v>0</v>
      </c>
      <c r="U81" s="13">
        <v>0</v>
      </c>
      <c r="V81" s="13">
        <v>0</v>
      </c>
      <c r="W81" s="13">
        <v>0</v>
      </c>
      <c r="X81" s="12">
        <v>1</v>
      </c>
      <c r="Y81" s="12" t="s">
        <v>367</v>
      </c>
      <c r="Z81" s="12" t="s">
        <v>41</v>
      </c>
      <c r="AA81" s="12" t="s">
        <v>156</v>
      </c>
      <c r="AB81" s="14" t="str">
        <f>MID(PEDIDOS[[#This Row],[Vencimento(s)]],1,10)</f>
        <v>17/02/2026</v>
      </c>
      <c r="AC81" s="14" t="str">
        <f>MID(PEDIDOS[[#This Row],[Vencimento(s)]],14,10)</f>
        <v/>
      </c>
      <c r="AD81" s="14" t="str">
        <f>MID(PEDIDOS[[#This Row],[Vencimento(s)]],27,10)</f>
        <v/>
      </c>
      <c r="AE81" s="12" t="str">
        <f>MID(PEDIDOS[[#This Row],[Vencimento(s)]],40,10)</f>
        <v/>
      </c>
      <c r="AF81" s="12" t="str">
        <f>MID(PEDIDOS[[#This Row],[Vencimento(s)]],53,10)</f>
        <v/>
      </c>
    </row>
    <row r="82" spans="1:32" x14ac:dyDescent="0.25">
      <c r="A82" s="8" t="str">
        <f>_xlfn.CONCAT("001/",PEDIDOS[[#This Row],[Nota Fiscal]])</f>
        <v>001/000022985</v>
      </c>
      <c r="B82" s="8" t="str">
        <f>_xlfn.XLOOKUP(PEDIDOS[[#This Row],[NFS]],'[1]MOVIMENTAÇÃO DE ESTOQUE'!AA:AA,'[1]MOVIMENTAÇÃO DE ESTOQUE'!A:A,"NÃO",0,1)</f>
        <v>002004012</v>
      </c>
      <c r="C82" s="9">
        <f>IFERROR(SUM(PEDIDOS[[#This Row],[PRAZO 1]:[PRAZO 6]])/COUNT(PEDIDOS[[#This Row],[PRAZO 1]:[PRAZO 6]]),"VERIFICAR")</f>
        <v>28</v>
      </c>
      <c r="D82" s="9">
        <f>PEDIDOS[[#This Row],[PM]]/7</f>
        <v>4</v>
      </c>
      <c r="E82" s="10">
        <f>IF(PEDIDOS[[#This Row],[NUM DE SEMANA]]=4,0,_xlfn.XLOOKUP(PEDIDOS[[#This Row],[NUM DE SEMANA]],'[1]SEMANAS DE PAGAMENTO'!A:A,'[1]SEMANAS DE PAGAMENTO'!B:B,"VERIFICAR",-1))</f>
        <v>0</v>
      </c>
      <c r="F82" s="11">
        <f t="shared" si="5"/>
        <v>28</v>
      </c>
      <c r="G82" s="11" t="str">
        <f t="shared" si="3"/>
        <v/>
      </c>
      <c r="H82" s="11" t="str">
        <f t="shared" si="3"/>
        <v/>
      </c>
      <c r="I82" s="11" t="str">
        <f t="shared" si="3"/>
        <v/>
      </c>
      <c r="J82" s="11" t="str">
        <f t="shared" ref="J82:J145" si="6">IF(AF82&lt;&gt;"",AF82-$O82,"")</f>
        <v/>
      </c>
      <c r="K82" s="11" t="str">
        <f t="shared" si="4"/>
        <v/>
      </c>
      <c r="L82" s="12" t="s">
        <v>368</v>
      </c>
      <c r="M82" s="12" t="s">
        <v>59</v>
      </c>
      <c r="N82" s="12" t="s">
        <v>369</v>
      </c>
      <c r="O82" s="12" t="s">
        <v>275</v>
      </c>
      <c r="P82" s="12" t="s">
        <v>38</v>
      </c>
      <c r="Q82" s="12" t="s">
        <v>366</v>
      </c>
      <c r="R82" s="13">
        <v>7332.0490631231996</v>
      </c>
      <c r="S82" s="13">
        <v>17999.689999999999</v>
      </c>
      <c r="T82" s="13">
        <v>0</v>
      </c>
      <c r="U82" s="13">
        <v>0</v>
      </c>
      <c r="V82" s="13">
        <v>0</v>
      </c>
      <c r="W82" s="13">
        <v>0</v>
      </c>
      <c r="X82" s="12">
        <v>1</v>
      </c>
      <c r="Y82" s="12" t="s">
        <v>367</v>
      </c>
      <c r="Z82" s="12" t="s">
        <v>41</v>
      </c>
      <c r="AA82" s="12" t="s">
        <v>64</v>
      </c>
      <c r="AB82" s="14" t="str">
        <f>MID(PEDIDOS[[#This Row],[Vencimento(s)]],1,10)</f>
        <v>03/02/2026</v>
      </c>
      <c r="AC82" s="14" t="str">
        <f>MID(PEDIDOS[[#This Row],[Vencimento(s)]],14,10)</f>
        <v/>
      </c>
      <c r="AD82" s="14" t="str">
        <f>MID(PEDIDOS[[#This Row],[Vencimento(s)]],27,10)</f>
        <v/>
      </c>
      <c r="AE82" s="12" t="str">
        <f>MID(PEDIDOS[[#This Row],[Vencimento(s)]],40,10)</f>
        <v/>
      </c>
      <c r="AF82" s="12" t="str">
        <f>MID(PEDIDOS[[#This Row],[Vencimento(s)]],53,10)</f>
        <v/>
      </c>
    </row>
    <row r="83" spans="1:32" x14ac:dyDescent="0.25">
      <c r="A83" s="8" t="str">
        <f>_xlfn.CONCAT("001/",PEDIDOS[[#This Row],[Nota Fiscal]])</f>
        <v>001/000022999</v>
      </c>
      <c r="B83" s="8" t="str">
        <f>_xlfn.XLOOKUP(PEDIDOS[[#This Row],[NFS]],'[1]MOVIMENTAÇÃO DE ESTOQUE'!AA:AA,'[1]MOVIMENTAÇÃO DE ESTOQUE'!A:A,"NÃO",0,1)</f>
        <v>005005001</v>
      </c>
      <c r="C83" s="9">
        <f>IFERROR(SUM(PEDIDOS[[#This Row],[PRAZO 1]:[PRAZO 6]])/COUNT(PEDIDOS[[#This Row],[PRAZO 1]:[PRAZO 6]]),"VERIFICAR")</f>
        <v>31.5</v>
      </c>
      <c r="D83" s="9">
        <f>PEDIDOS[[#This Row],[PM]]/7</f>
        <v>4.5</v>
      </c>
      <c r="E83" s="10">
        <f>IF(PEDIDOS[[#This Row],[NUM DE SEMANA]]=4,0,_xlfn.XLOOKUP(PEDIDOS[[#This Row],[NUM DE SEMANA]],'[1]SEMANAS DE PAGAMENTO'!A:A,'[1]SEMANAS DE PAGAMENTO'!B:B,"VERIFICAR",-1))</f>
        <v>5.0000000000000001E-4</v>
      </c>
      <c r="F83" s="11">
        <f t="shared" si="5"/>
        <v>28</v>
      </c>
      <c r="G83" s="11">
        <f t="shared" ref="G83:J146" si="7">IF(AC83&lt;&gt;"",AC83-$O83,"")</f>
        <v>35</v>
      </c>
      <c r="H83" s="11" t="str">
        <f t="shared" si="7"/>
        <v/>
      </c>
      <c r="I83" s="11" t="str">
        <f t="shared" si="7"/>
        <v/>
      </c>
      <c r="J83" s="11" t="str">
        <f t="shared" si="6"/>
        <v/>
      </c>
      <c r="K83" s="11" t="str">
        <f t="shared" si="4"/>
        <v/>
      </c>
      <c r="L83" s="12" t="s">
        <v>370</v>
      </c>
      <c r="M83" s="12" t="s">
        <v>51</v>
      </c>
      <c r="N83" s="12" t="s">
        <v>371</v>
      </c>
      <c r="O83" s="12" t="s">
        <v>275</v>
      </c>
      <c r="P83" s="12" t="s">
        <v>111</v>
      </c>
      <c r="Q83" s="12" t="s">
        <v>372</v>
      </c>
      <c r="R83" s="13">
        <v>2546.5461908562779</v>
      </c>
      <c r="S83" s="13">
        <v>4140.88</v>
      </c>
      <c r="T83" s="13">
        <v>0</v>
      </c>
      <c r="U83" s="13">
        <v>0</v>
      </c>
      <c r="V83" s="13">
        <v>0</v>
      </c>
      <c r="W83" s="13">
        <v>0</v>
      </c>
      <c r="X83" s="12">
        <v>5.01</v>
      </c>
      <c r="Y83" s="12" t="s">
        <v>56</v>
      </c>
      <c r="Z83" s="12" t="s">
        <v>48</v>
      </c>
      <c r="AA83" s="12" t="s">
        <v>259</v>
      </c>
      <c r="AB83" s="14" t="str">
        <f>MID(PEDIDOS[[#This Row],[Vencimento(s)]],1,10)</f>
        <v>03/02/2026</v>
      </c>
      <c r="AC83" s="14" t="str">
        <f>MID(PEDIDOS[[#This Row],[Vencimento(s)]],14,10)</f>
        <v>10/02/2026</v>
      </c>
      <c r="AD83" s="14" t="str">
        <f>MID(PEDIDOS[[#This Row],[Vencimento(s)]],27,10)</f>
        <v/>
      </c>
      <c r="AE83" s="12" t="str">
        <f>MID(PEDIDOS[[#This Row],[Vencimento(s)]],40,10)</f>
        <v/>
      </c>
      <c r="AF83" s="12" t="str">
        <f>MID(PEDIDOS[[#This Row],[Vencimento(s)]],53,10)</f>
        <v/>
      </c>
    </row>
    <row r="84" spans="1:32" x14ac:dyDescent="0.25">
      <c r="A84" s="8" t="str">
        <f>_xlfn.CONCAT("001/",PEDIDOS[[#This Row],[Nota Fiscal]])</f>
        <v>001/000023289</v>
      </c>
      <c r="B84" s="8" t="str">
        <f>_xlfn.XLOOKUP(PEDIDOS[[#This Row],[NFS]],'[1]MOVIMENTAÇÃO DE ESTOQUE'!AA:AA,'[1]MOVIMENTAÇÃO DE ESTOQUE'!A:A,"NÃO",0,1)</f>
        <v>004003001</v>
      </c>
      <c r="C84" s="9">
        <f>IFERROR(SUM(PEDIDOS[[#This Row],[PRAZO 1]:[PRAZO 6]])/COUNT(PEDIDOS[[#This Row],[PRAZO 1]:[PRAZO 6]]),"VERIFICAR")</f>
        <v>35</v>
      </c>
      <c r="D84" s="9">
        <f>PEDIDOS[[#This Row],[PM]]/7</f>
        <v>5</v>
      </c>
      <c r="E84" s="10">
        <f>IF(PEDIDOS[[#This Row],[NUM DE SEMANA]]=4,0,_xlfn.XLOOKUP(PEDIDOS[[#This Row],[NUM DE SEMANA]],'[1]SEMANAS DE PAGAMENTO'!A:A,'[1]SEMANAS DE PAGAMENTO'!B:B,"VERIFICAR",-1))</f>
        <v>-5.0000000000000001E-4</v>
      </c>
      <c r="F84" s="11">
        <f t="shared" si="5"/>
        <v>28</v>
      </c>
      <c r="G84" s="11">
        <f t="shared" si="7"/>
        <v>35</v>
      </c>
      <c r="H84" s="11">
        <f t="shared" si="7"/>
        <v>42</v>
      </c>
      <c r="I84" s="11" t="str">
        <f t="shared" si="7"/>
        <v/>
      </c>
      <c r="J84" s="11" t="str">
        <f t="shared" si="6"/>
        <v/>
      </c>
      <c r="K84" s="11" t="str">
        <f t="shared" si="4"/>
        <v/>
      </c>
      <c r="L84" s="12" t="s">
        <v>373</v>
      </c>
      <c r="M84" s="12" t="s">
        <v>59</v>
      </c>
      <c r="N84" s="12" t="s">
        <v>374</v>
      </c>
      <c r="O84" s="12" t="s">
        <v>139</v>
      </c>
      <c r="P84" s="12" t="s">
        <v>45</v>
      </c>
      <c r="Q84" s="12" t="s">
        <v>375</v>
      </c>
      <c r="R84" s="13">
        <v>536.58000000000004</v>
      </c>
      <c r="S84" s="13">
        <v>1963.75</v>
      </c>
      <c r="T84" s="13">
        <v>0</v>
      </c>
      <c r="U84" s="13">
        <v>0</v>
      </c>
      <c r="V84" s="13">
        <v>0</v>
      </c>
      <c r="W84" s="13">
        <v>0</v>
      </c>
      <c r="X84" s="12">
        <v>2</v>
      </c>
      <c r="Y84" s="12" t="s">
        <v>376</v>
      </c>
      <c r="Z84" s="12" t="s">
        <v>48</v>
      </c>
      <c r="AA84" s="12" t="s">
        <v>377</v>
      </c>
      <c r="AB84" s="14" t="str">
        <f>MID(PEDIDOS[[#This Row],[Vencimento(s)]],1,10)</f>
        <v>25/02/2026</v>
      </c>
      <c r="AC84" s="14" t="str">
        <f>MID(PEDIDOS[[#This Row],[Vencimento(s)]],14,10)</f>
        <v>04/03/2026</v>
      </c>
      <c r="AD84" s="14" t="str">
        <f>MID(PEDIDOS[[#This Row],[Vencimento(s)]],27,10)</f>
        <v>11/03/2026</v>
      </c>
      <c r="AE84" s="12" t="str">
        <f>MID(PEDIDOS[[#This Row],[Vencimento(s)]],40,10)</f>
        <v/>
      </c>
      <c r="AF84" s="12" t="str">
        <f>MID(PEDIDOS[[#This Row],[Vencimento(s)]],53,10)</f>
        <v/>
      </c>
    </row>
    <row r="85" spans="1:32" x14ac:dyDescent="0.25">
      <c r="A85" s="8" t="str">
        <f>_xlfn.CONCAT("001/",PEDIDOS[[#This Row],[Nota Fiscal]])</f>
        <v>001/000022993</v>
      </c>
      <c r="B85" s="8" t="str">
        <f>_xlfn.XLOOKUP(PEDIDOS[[#This Row],[NFS]],'[1]MOVIMENTAÇÃO DE ESTOQUE'!AA:AA,'[1]MOVIMENTAÇÃO DE ESTOQUE'!A:A,"NÃO",0,1)</f>
        <v>067004019</v>
      </c>
      <c r="C85" s="9">
        <f>IFERROR(SUM(PEDIDOS[[#This Row],[PRAZO 1]:[PRAZO 6]])/COUNT(PEDIDOS[[#This Row],[PRAZO 1]:[PRAZO 6]]),"VERIFICAR")</f>
        <v>28</v>
      </c>
      <c r="D85" s="9">
        <f>PEDIDOS[[#This Row],[PM]]/7</f>
        <v>4</v>
      </c>
      <c r="E85" s="10">
        <f>IF(PEDIDOS[[#This Row],[NUM DE SEMANA]]=4,0,_xlfn.XLOOKUP(PEDIDOS[[#This Row],[NUM DE SEMANA]],'[1]SEMANAS DE PAGAMENTO'!A:A,'[1]SEMANAS DE PAGAMENTO'!B:B,"VERIFICAR",-1))</f>
        <v>0</v>
      </c>
      <c r="F85" s="11">
        <f t="shared" si="5"/>
        <v>21</v>
      </c>
      <c r="G85" s="11">
        <f t="shared" si="7"/>
        <v>28</v>
      </c>
      <c r="H85" s="11">
        <f t="shared" si="7"/>
        <v>35</v>
      </c>
      <c r="I85" s="11" t="str">
        <f t="shared" si="7"/>
        <v/>
      </c>
      <c r="J85" s="11" t="str">
        <f t="shared" si="6"/>
        <v/>
      </c>
      <c r="K85" s="11" t="str">
        <f t="shared" si="4"/>
        <v/>
      </c>
      <c r="L85" s="12" t="s">
        <v>378</v>
      </c>
      <c r="M85" s="12" t="s">
        <v>35</v>
      </c>
      <c r="N85" s="12" t="s">
        <v>379</v>
      </c>
      <c r="O85" s="12" t="s">
        <v>275</v>
      </c>
      <c r="P85" s="12" t="s">
        <v>111</v>
      </c>
      <c r="Q85" s="12" t="s">
        <v>380</v>
      </c>
      <c r="R85" s="13">
        <v>6472.9837818679562</v>
      </c>
      <c r="S85" s="13">
        <v>10129.99</v>
      </c>
      <c r="T85" s="13">
        <v>0</v>
      </c>
      <c r="U85" s="13">
        <v>0</v>
      </c>
      <c r="V85" s="13">
        <v>0</v>
      </c>
      <c r="W85" s="13">
        <v>0</v>
      </c>
      <c r="X85" s="12">
        <v>2.02</v>
      </c>
      <c r="Y85" s="12" t="s">
        <v>381</v>
      </c>
      <c r="Z85" s="12" t="s">
        <v>48</v>
      </c>
      <c r="AA85" s="12" t="s">
        <v>382</v>
      </c>
      <c r="AB85" s="14" t="str">
        <f>MID(PEDIDOS[[#This Row],[Vencimento(s)]],1,10)</f>
        <v>27/01/2026</v>
      </c>
      <c r="AC85" s="14" t="str">
        <f>MID(PEDIDOS[[#This Row],[Vencimento(s)]],14,10)</f>
        <v>03/02/2026</v>
      </c>
      <c r="AD85" s="14" t="str">
        <f>MID(PEDIDOS[[#This Row],[Vencimento(s)]],27,10)</f>
        <v>10/02/2026</v>
      </c>
      <c r="AE85" s="12" t="str">
        <f>MID(PEDIDOS[[#This Row],[Vencimento(s)]],40,10)</f>
        <v/>
      </c>
      <c r="AF85" s="12" t="str">
        <f>MID(PEDIDOS[[#This Row],[Vencimento(s)]],53,10)</f>
        <v/>
      </c>
    </row>
    <row r="86" spans="1:32" x14ac:dyDescent="0.25">
      <c r="A86" s="8" t="str">
        <f>_xlfn.CONCAT("001/",PEDIDOS[[#This Row],[Nota Fiscal]])</f>
        <v>001/000022979</v>
      </c>
      <c r="B86" s="8" t="str">
        <f>_xlfn.XLOOKUP(PEDIDOS[[#This Row],[NFS]],'[1]MOVIMENTAÇÃO DE ESTOQUE'!AA:AA,'[1]MOVIMENTAÇÃO DE ESTOQUE'!A:A,"NÃO",0,1)</f>
        <v>001004114</v>
      </c>
      <c r="C86" s="9">
        <f>IFERROR(SUM(PEDIDOS[[#This Row],[PRAZO 1]:[PRAZO 6]])/COUNT(PEDIDOS[[#This Row],[PRAZO 1]:[PRAZO 6]]),"VERIFICAR")</f>
        <v>45</v>
      </c>
      <c r="D86" s="9">
        <f>PEDIDOS[[#This Row],[PM]]/7</f>
        <v>6.4285714285714288</v>
      </c>
      <c r="E86" s="10">
        <f>IF(PEDIDOS[[#This Row],[NUM DE SEMANA]]=4,0,_xlfn.XLOOKUP(PEDIDOS[[#This Row],[NUM DE SEMANA]],'[1]SEMANAS DE PAGAMENTO'!A:A,'[1]SEMANAS DE PAGAMENTO'!B:B,"VERIFICAR",-1))</f>
        <v>-1E-3</v>
      </c>
      <c r="F86" s="11">
        <f t="shared" si="5"/>
        <v>45</v>
      </c>
      <c r="G86" s="11" t="str">
        <f t="shared" si="7"/>
        <v/>
      </c>
      <c r="H86" s="11" t="str">
        <f t="shared" si="7"/>
        <v/>
      </c>
      <c r="I86" s="11" t="str">
        <f t="shared" si="7"/>
        <v/>
      </c>
      <c r="J86" s="11" t="str">
        <f t="shared" si="6"/>
        <v/>
      </c>
      <c r="K86" s="11" t="str">
        <f t="shared" si="4"/>
        <v/>
      </c>
      <c r="L86" s="12" t="s">
        <v>383</v>
      </c>
      <c r="M86" s="12" t="s">
        <v>59</v>
      </c>
      <c r="N86" s="12" t="s">
        <v>384</v>
      </c>
      <c r="O86" s="12" t="s">
        <v>275</v>
      </c>
      <c r="P86" s="12" t="s">
        <v>45</v>
      </c>
      <c r="Q86" s="12" t="s">
        <v>385</v>
      </c>
      <c r="R86" s="13">
        <v>7548.7704723014003</v>
      </c>
      <c r="S86" s="13">
        <v>23874.44</v>
      </c>
      <c r="T86" s="13">
        <v>0</v>
      </c>
      <c r="U86" s="13">
        <v>0</v>
      </c>
      <c r="V86" s="13">
        <v>0</v>
      </c>
      <c r="W86" s="13">
        <v>0</v>
      </c>
      <c r="X86" s="12">
        <v>2</v>
      </c>
      <c r="Y86" s="12" t="s">
        <v>386</v>
      </c>
      <c r="Z86" s="12" t="s">
        <v>177</v>
      </c>
      <c r="AA86" s="12" t="s">
        <v>349</v>
      </c>
      <c r="AB86" s="14" t="str">
        <f>MID(PEDIDOS[[#This Row],[Vencimento(s)]],1,10)</f>
        <v>20/02/2026</v>
      </c>
      <c r="AC86" s="14" t="str">
        <f>MID(PEDIDOS[[#This Row],[Vencimento(s)]],14,10)</f>
        <v/>
      </c>
      <c r="AD86" s="14" t="str">
        <f>MID(PEDIDOS[[#This Row],[Vencimento(s)]],27,10)</f>
        <v/>
      </c>
      <c r="AE86" s="12" t="str">
        <f>MID(PEDIDOS[[#This Row],[Vencimento(s)]],40,10)</f>
        <v/>
      </c>
      <c r="AF86" s="12" t="str">
        <f>MID(PEDIDOS[[#This Row],[Vencimento(s)]],53,10)</f>
        <v/>
      </c>
    </row>
    <row r="87" spans="1:32" x14ac:dyDescent="0.25">
      <c r="A87" s="8" t="str">
        <f>_xlfn.CONCAT("001/",PEDIDOS[[#This Row],[Nota Fiscal]])</f>
        <v>001/000023221</v>
      </c>
      <c r="B87" s="8" t="str">
        <f>_xlfn.XLOOKUP(PEDIDOS[[#This Row],[NFS]],'[1]MOVIMENTAÇÃO DE ESTOQUE'!AA:AA,'[1]MOVIMENTAÇÃO DE ESTOQUE'!A:A,"NÃO",0,1)</f>
        <v>004003001</v>
      </c>
      <c r="C87" s="9">
        <f>IFERROR(SUM(PEDIDOS[[#This Row],[PRAZO 1]:[PRAZO 6]])/COUNT(PEDIDOS[[#This Row],[PRAZO 1]:[PRAZO 6]]),"VERIFICAR")</f>
        <v>31.5</v>
      </c>
      <c r="D87" s="9">
        <f>PEDIDOS[[#This Row],[PM]]/7</f>
        <v>4.5</v>
      </c>
      <c r="E87" s="10">
        <f>IF(PEDIDOS[[#This Row],[NUM DE SEMANA]]=4,0,_xlfn.XLOOKUP(PEDIDOS[[#This Row],[NUM DE SEMANA]],'[1]SEMANAS DE PAGAMENTO'!A:A,'[1]SEMANAS DE PAGAMENTO'!B:B,"VERIFICAR",-1))</f>
        <v>5.0000000000000001E-4</v>
      </c>
      <c r="F87" s="11">
        <f t="shared" si="5"/>
        <v>28</v>
      </c>
      <c r="G87" s="11">
        <f t="shared" si="7"/>
        <v>35</v>
      </c>
      <c r="H87" s="11" t="str">
        <f t="shared" si="7"/>
        <v/>
      </c>
      <c r="I87" s="11" t="str">
        <f t="shared" si="7"/>
        <v/>
      </c>
      <c r="J87" s="11" t="str">
        <f t="shared" si="6"/>
        <v/>
      </c>
      <c r="K87" s="11" t="str">
        <f t="shared" si="4"/>
        <v/>
      </c>
      <c r="L87" s="12" t="s">
        <v>387</v>
      </c>
      <c r="M87" s="12" t="s">
        <v>35</v>
      </c>
      <c r="N87" s="12" t="s">
        <v>388</v>
      </c>
      <c r="O87" s="12" t="s">
        <v>85</v>
      </c>
      <c r="P87" s="12" t="s">
        <v>111</v>
      </c>
      <c r="Q87" s="12" t="s">
        <v>389</v>
      </c>
      <c r="R87" s="13">
        <v>1538.85</v>
      </c>
      <c r="S87" s="13">
        <v>4732.8999999999996</v>
      </c>
      <c r="T87" s="13">
        <v>0</v>
      </c>
      <c r="U87" s="13">
        <v>0</v>
      </c>
      <c r="V87" s="13">
        <v>0</v>
      </c>
      <c r="W87" s="13">
        <v>0</v>
      </c>
      <c r="X87" s="12">
        <v>5</v>
      </c>
      <c r="Y87" s="12" t="s">
        <v>390</v>
      </c>
      <c r="Z87" s="12" t="s">
        <v>48</v>
      </c>
      <c r="AA87" s="12" t="s">
        <v>391</v>
      </c>
      <c r="AB87" s="14" t="str">
        <f>MID(PEDIDOS[[#This Row],[Vencimento(s)]],1,10)</f>
        <v>19/02/2026</v>
      </c>
      <c r="AC87" s="14" t="str">
        <f>MID(PEDIDOS[[#This Row],[Vencimento(s)]],14,10)</f>
        <v>26/02/2026</v>
      </c>
      <c r="AD87" s="14" t="str">
        <f>MID(PEDIDOS[[#This Row],[Vencimento(s)]],27,10)</f>
        <v/>
      </c>
      <c r="AE87" s="12" t="str">
        <f>MID(PEDIDOS[[#This Row],[Vencimento(s)]],40,10)</f>
        <v/>
      </c>
      <c r="AF87" s="12" t="str">
        <f>MID(PEDIDOS[[#This Row],[Vencimento(s)]],53,10)</f>
        <v/>
      </c>
    </row>
    <row r="88" spans="1:32" x14ac:dyDescent="0.25">
      <c r="A88" s="8" t="str">
        <f>_xlfn.CONCAT("001/",PEDIDOS[[#This Row],[Nota Fiscal]])</f>
        <v>001/000023021</v>
      </c>
      <c r="B88" s="8" t="str">
        <f>_xlfn.XLOOKUP(PEDIDOS[[#This Row],[NFS]],'[1]MOVIMENTAÇÃO DE ESTOQUE'!AA:AA,'[1]MOVIMENTAÇÃO DE ESTOQUE'!A:A,"NÃO",0,1)</f>
        <v>001004079</v>
      </c>
      <c r="C88" s="9">
        <f>IFERROR(SUM(PEDIDOS[[#This Row],[PRAZO 1]:[PRAZO 6]])/COUNT(PEDIDOS[[#This Row],[PRAZO 1]:[PRAZO 6]]),"VERIFICAR")</f>
        <v>28</v>
      </c>
      <c r="D88" s="9">
        <f>PEDIDOS[[#This Row],[PM]]/7</f>
        <v>4</v>
      </c>
      <c r="E88" s="10">
        <f>IF(PEDIDOS[[#This Row],[NUM DE SEMANA]]=4,0,_xlfn.XLOOKUP(PEDIDOS[[#This Row],[NUM DE SEMANA]],'[1]SEMANAS DE PAGAMENTO'!A:A,'[1]SEMANAS DE PAGAMENTO'!B:B,"VERIFICAR",-1))</f>
        <v>0</v>
      </c>
      <c r="F88" s="11">
        <f t="shared" si="5"/>
        <v>28</v>
      </c>
      <c r="G88" s="11" t="str">
        <f t="shared" si="7"/>
        <v/>
      </c>
      <c r="H88" s="11" t="str">
        <f t="shared" si="7"/>
        <v/>
      </c>
      <c r="I88" s="11" t="str">
        <f t="shared" si="7"/>
        <v/>
      </c>
      <c r="J88" s="11" t="str">
        <f t="shared" si="6"/>
        <v/>
      </c>
      <c r="K88" s="11" t="str">
        <f t="shared" si="4"/>
        <v/>
      </c>
      <c r="L88" s="12" t="s">
        <v>392</v>
      </c>
      <c r="M88" s="12" t="s">
        <v>393</v>
      </c>
      <c r="N88" s="12" t="s">
        <v>394</v>
      </c>
      <c r="O88" s="12" t="s">
        <v>258</v>
      </c>
      <c r="P88" s="12" t="s">
        <v>54</v>
      </c>
      <c r="Q88" s="12" t="s">
        <v>395</v>
      </c>
      <c r="R88" s="13">
        <v>1500.1692701898</v>
      </c>
      <c r="S88" s="13">
        <v>6683.73</v>
      </c>
      <c r="T88" s="13">
        <v>0</v>
      </c>
      <c r="U88" s="13">
        <v>0</v>
      </c>
      <c r="V88" s="13">
        <v>0</v>
      </c>
      <c r="W88" s="13">
        <v>0</v>
      </c>
      <c r="X88" s="12">
        <v>6</v>
      </c>
      <c r="Y88" s="12" t="s">
        <v>63</v>
      </c>
      <c r="Z88" s="12" t="s">
        <v>48</v>
      </c>
      <c r="AA88" s="12" t="s">
        <v>396</v>
      </c>
      <c r="AB88" s="14" t="str">
        <f>MID(PEDIDOS[[#This Row],[Vencimento(s)]],1,10)</f>
        <v>04/02/2026</v>
      </c>
      <c r="AC88" s="14" t="str">
        <f>MID(PEDIDOS[[#This Row],[Vencimento(s)]],14,10)</f>
        <v/>
      </c>
      <c r="AD88" s="14" t="str">
        <f>MID(PEDIDOS[[#This Row],[Vencimento(s)]],27,10)</f>
        <v/>
      </c>
      <c r="AE88" s="12" t="str">
        <f>MID(PEDIDOS[[#This Row],[Vencimento(s)]],40,10)</f>
        <v/>
      </c>
      <c r="AF88" s="12" t="str">
        <f>MID(PEDIDOS[[#This Row],[Vencimento(s)]],53,10)</f>
        <v/>
      </c>
    </row>
    <row r="89" spans="1:32" x14ac:dyDescent="0.25">
      <c r="A89" s="8" t="str">
        <f>_xlfn.CONCAT("001/",PEDIDOS[[#This Row],[Nota Fiscal]])</f>
        <v>001/000023130</v>
      </c>
      <c r="B89" s="8" t="str">
        <f>_xlfn.XLOOKUP(PEDIDOS[[#This Row],[NFS]],'[1]MOVIMENTAÇÃO DE ESTOQUE'!AA:AA,'[1]MOVIMENTAÇÃO DE ESTOQUE'!A:A,"NÃO",0,1)</f>
        <v>007002009</v>
      </c>
      <c r="C89" s="9">
        <f>IFERROR(SUM(PEDIDOS[[#This Row],[PRAZO 1]:[PRAZO 6]])/COUNT(PEDIDOS[[#This Row],[PRAZO 1]:[PRAZO 6]]),"VERIFICAR")</f>
        <v>0</v>
      </c>
      <c r="D89" s="9">
        <f>PEDIDOS[[#This Row],[PM]]/7</f>
        <v>0</v>
      </c>
      <c r="E89" s="10">
        <f>IF(PEDIDOS[[#This Row],[NUM DE SEMANA]]=4,0,_xlfn.XLOOKUP(PEDIDOS[[#This Row],[NUM DE SEMANA]],'[1]SEMANAS DE PAGAMENTO'!A:A,'[1]SEMANAS DE PAGAMENTO'!B:B,"VERIFICAR",-1))</f>
        <v>2E-3</v>
      </c>
      <c r="F89" s="11">
        <f t="shared" si="5"/>
        <v>0</v>
      </c>
      <c r="G89" s="11" t="str">
        <f t="shared" si="7"/>
        <v/>
      </c>
      <c r="H89" s="11" t="str">
        <f t="shared" si="7"/>
        <v/>
      </c>
      <c r="I89" s="11" t="str">
        <f t="shared" si="7"/>
        <v/>
      </c>
      <c r="J89" s="11" t="str">
        <f t="shared" si="6"/>
        <v/>
      </c>
      <c r="K89" s="11" t="str">
        <f t="shared" si="4"/>
        <v/>
      </c>
      <c r="L89" s="12" t="s">
        <v>397</v>
      </c>
      <c r="M89" s="12" t="s">
        <v>59</v>
      </c>
      <c r="N89" s="12" t="s">
        <v>398</v>
      </c>
      <c r="O89" s="12" t="s">
        <v>174</v>
      </c>
      <c r="P89" s="12" t="s">
        <v>45</v>
      </c>
      <c r="Q89" s="12" t="s">
        <v>140</v>
      </c>
      <c r="R89" s="13">
        <v>390.48</v>
      </c>
      <c r="S89" s="13">
        <v>1416</v>
      </c>
      <c r="T89" s="13">
        <v>0</v>
      </c>
      <c r="U89" s="13">
        <v>0</v>
      </c>
      <c r="V89" s="13">
        <v>0</v>
      </c>
      <c r="W89" s="13">
        <v>0</v>
      </c>
      <c r="X89" s="12">
        <v>20</v>
      </c>
      <c r="Y89" s="12" t="s">
        <v>399</v>
      </c>
      <c r="Z89" s="12" t="s">
        <v>41</v>
      </c>
      <c r="AA89" s="12" t="s">
        <v>174</v>
      </c>
      <c r="AB89" s="14" t="str">
        <f>MID(PEDIDOS[[#This Row],[Vencimento(s)]],1,10)</f>
        <v>16/01/2026</v>
      </c>
      <c r="AC89" s="14" t="str">
        <f>MID(PEDIDOS[[#This Row],[Vencimento(s)]],14,10)</f>
        <v/>
      </c>
      <c r="AD89" s="14" t="str">
        <f>MID(PEDIDOS[[#This Row],[Vencimento(s)]],27,10)</f>
        <v/>
      </c>
      <c r="AE89" s="12" t="str">
        <f>MID(PEDIDOS[[#This Row],[Vencimento(s)]],40,10)</f>
        <v/>
      </c>
      <c r="AF89" s="12" t="str">
        <f>MID(PEDIDOS[[#This Row],[Vencimento(s)]],53,10)</f>
        <v/>
      </c>
    </row>
    <row r="90" spans="1:32" x14ac:dyDescent="0.25">
      <c r="A90" s="8" t="str">
        <f>_xlfn.CONCAT("001/",PEDIDOS[[#This Row],[Nota Fiscal]])</f>
        <v>001/000023202</v>
      </c>
      <c r="B90" s="8" t="str">
        <f>_xlfn.XLOOKUP(PEDIDOS[[#This Row],[NFS]],'[1]MOVIMENTAÇÃO DE ESTOQUE'!AA:AA,'[1]MOVIMENTAÇÃO DE ESTOQUE'!A:A,"NÃO",0,1)</f>
        <v>004003001</v>
      </c>
      <c r="C90" s="9">
        <f>IFERROR(SUM(PEDIDOS[[#This Row],[PRAZO 1]:[PRAZO 6]])/COUNT(PEDIDOS[[#This Row],[PRAZO 1]:[PRAZO 6]]),"VERIFICAR")</f>
        <v>28</v>
      </c>
      <c r="D90" s="9">
        <f>PEDIDOS[[#This Row],[PM]]/7</f>
        <v>4</v>
      </c>
      <c r="E90" s="10">
        <f>IF(PEDIDOS[[#This Row],[NUM DE SEMANA]]=4,0,_xlfn.XLOOKUP(PEDIDOS[[#This Row],[NUM DE SEMANA]],'[1]SEMANAS DE PAGAMENTO'!A:A,'[1]SEMANAS DE PAGAMENTO'!B:B,"VERIFICAR",-1))</f>
        <v>0</v>
      </c>
      <c r="F90" s="11">
        <f t="shared" si="5"/>
        <v>28</v>
      </c>
      <c r="G90" s="11" t="str">
        <f t="shared" si="7"/>
        <v/>
      </c>
      <c r="H90" s="11" t="str">
        <f t="shared" si="7"/>
        <v/>
      </c>
      <c r="I90" s="11" t="str">
        <f t="shared" si="7"/>
        <v/>
      </c>
      <c r="J90" s="11" t="str">
        <f t="shared" si="6"/>
        <v/>
      </c>
      <c r="K90" s="11" t="str">
        <f t="shared" si="4"/>
        <v/>
      </c>
      <c r="L90" s="12" t="s">
        <v>400</v>
      </c>
      <c r="M90" s="12" t="s">
        <v>35</v>
      </c>
      <c r="N90" s="12" t="s">
        <v>401</v>
      </c>
      <c r="O90" s="12" t="s">
        <v>168</v>
      </c>
      <c r="P90" s="12" t="s">
        <v>111</v>
      </c>
      <c r="Q90" s="12" t="s">
        <v>402</v>
      </c>
      <c r="R90" s="13">
        <v>3049.1803333329999</v>
      </c>
      <c r="S90" s="13">
        <v>10697.2</v>
      </c>
      <c r="T90" s="13">
        <v>0</v>
      </c>
      <c r="U90" s="13">
        <v>0</v>
      </c>
      <c r="V90" s="13">
        <v>0</v>
      </c>
      <c r="W90" s="13">
        <v>0</v>
      </c>
      <c r="X90" s="12">
        <v>10</v>
      </c>
      <c r="Y90" s="12" t="s">
        <v>403</v>
      </c>
      <c r="Z90" s="12" t="s">
        <v>48</v>
      </c>
      <c r="AA90" s="12" t="s">
        <v>142</v>
      </c>
      <c r="AB90" s="14" t="str">
        <f>MID(PEDIDOS[[#This Row],[Vencimento(s)]],1,10)</f>
        <v>18/02/2026</v>
      </c>
      <c r="AC90" s="14" t="str">
        <f>MID(PEDIDOS[[#This Row],[Vencimento(s)]],14,10)</f>
        <v/>
      </c>
      <c r="AD90" s="14" t="str">
        <f>MID(PEDIDOS[[#This Row],[Vencimento(s)]],27,10)</f>
        <v/>
      </c>
      <c r="AE90" s="12" t="str">
        <f>MID(PEDIDOS[[#This Row],[Vencimento(s)]],40,10)</f>
        <v/>
      </c>
      <c r="AF90" s="12" t="str">
        <f>MID(PEDIDOS[[#This Row],[Vencimento(s)]],53,10)</f>
        <v/>
      </c>
    </row>
    <row r="91" spans="1:32" x14ac:dyDescent="0.25">
      <c r="A91" s="8" t="str">
        <f>_xlfn.CONCAT("001/",PEDIDOS[[#This Row],[Nota Fiscal]])</f>
        <v>001/000023024</v>
      </c>
      <c r="B91" s="8" t="str">
        <f>_xlfn.XLOOKUP(PEDIDOS[[#This Row],[NFS]],'[1]MOVIMENTAÇÃO DE ESTOQUE'!AA:AA,'[1]MOVIMENTAÇÃO DE ESTOQUE'!A:A,"NÃO",0,1)</f>
        <v>002004041</v>
      </c>
      <c r="C91" s="9">
        <f>IFERROR(SUM(PEDIDOS[[#This Row],[PRAZO 1]:[PRAZO 6]])/COUNT(PEDIDOS[[#This Row],[PRAZO 1]:[PRAZO 6]]),"VERIFICAR")</f>
        <v>38.5</v>
      </c>
      <c r="D91" s="9">
        <f>PEDIDOS[[#This Row],[PM]]/7</f>
        <v>5.5</v>
      </c>
      <c r="E91" s="10">
        <f>IF(PEDIDOS[[#This Row],[NUM DE SEMANA]]=4,0,_xlfn.XLOOKUP(PEDIDOS[[#This Row],[NUM DE SEMANA]],'[1]SEMANAS DE PAGAMENTO'!A:A,'[1]SEMANAS DE PAGAMENTO'!B:B,"VERIFICAR",-1))</f>
        <v>-5.0000000000000001E-4</v>
      </c>
      <c r="F91" s="11">
        <f t="shared" si="5"/>
        <v>28</v>
      </c>
      <c r="G91" s="11">
        <f t="shared" si="7"/>
        <v>35</v>
      </c>
      <c r="H91" s="11">
        <f t="shared" si="7"/>
        <v>42</v>
      </c>
      <c r="I91" s="11">
        <f t="shared" si="7"/>
        <v>49</v>
      </c>
      <c r="J91" s="11" t="str">
        <f t="shared" si="6"/>
        <v/>
      </c>
      <c r="K91" s="11" t="str">
        <f t="shared" si="4"/>
        <v/>
      </c>
      <c r="L91" s="12" t="s">
        <v>404</v>
      </c>
      <c r="M91" s="12" t="s">
        <v>35</v>
      </c>
      <c r="N91" s="12" t="s">
        <v>405</v>
      </c>
      <c r="O91" s="12" t="s">
        <v>258</v>
      </c>
      <c r="P91" s="12" t="s">
        <v>38</v>
      </c>
      <c r="Q91" s="12" t="s">
        <v>39</v>
      </c>
      <c r="R91" s="13">
        <v>2213.4819965380002</v>
      </c>
      <c r="S91" s="13">
        <v>24213.5</v>
      </c>
      <c r="T91" s="13">
        <v>0</v>
      </c>
      <c r="U91" s="13">
        <v>0</v>
      </c>
      <c r="V91" s="13">
        <v>0</v>
      </c>
      <c r="W91" s="13">
        <v>0</v>
      </c>
      <c r="X91" s="12">
        <v>10</v>
      </c>
      <c r="Y91" s="12" t="s">
        <v>406</v>
      </c>
      <c r="Z91" s="12" t="s">
        <v>41</v>
      </c>
      <c r="AA91" s="12" t="s">
        <v>262</v>
      </c>
      <c r="AB91" s="14" t="str">
        <f>MID(PEDIDOS[[#This Row],[Vencimento(s)]],1,10)</f>
        <v>04/02/2026</v>
      </c>
      <c r="AC91" s="14" t="str">
        <f>MID(PEDIDOS[[#This Row],[Vencimento(s)]],14,10)</f>
        <v>11/02/2026</v>
      </c>
      <c r="AD91" s="14" t="str">
        <f>MID(PEDIDOS[[#This Row],[Vencimento(s)]],27,10)</f>
        <v>18/02/2026</v>
      </c>
      <c r="AE91" s="12" t="str">
        <f>MID(PEDIDOS[[#This Row],[Vencimento(s)]],40,10)</f>
        <v>25/02/2026</v>
      </c>
      <c r="AF91" s="12" t="str">
        <f>MID(PEDIDOS[[#This Row],[Vencimento(s)]],53,10)</f>
        <v/>
      </c>
    </row>
    <row r="92" spans="1:32" x14ac:dyDescent="0.25">
      <c r="A92" s="8" t="str">
        <f>_xlfn.CONCAT("001/",PEDIDOS[[#This Row],[Nota Fiscal]])</f>
        <v>001/000023051</v>
      </c>
      <c r="B92" s="8" t="str">
        <f>_xlfn.XLOOKUP(PEDIDOS[[#This Row],[NFS]],'[1]MOVIMENTAÇÃO DE ESTOQUE'!AA:AA,'[1]MOVIMENTAÇÃO DE ESTOQUE'!A:A,"NÃO",0,1)</f>
        <v>002004040</v>
      </c>
      <c r="C92" s="9">
        <f>IFERROR(SUM(PEDIDOS[[#This Row],[PRAZO 1]:[PRAZO 6]])/COUNT(PEDIDOS[[#This Row],[PRAZO 1]:[PRAZO 6]]),"VERIFICAR")</f>
        <v>14</v>
      </c>
      <c r="D92" s="9">
        <f>PEDIDOS[[#This Row],[PM]]/7</f>
        <v>2</v>
      </c>
      <c r="E92" s="10">
        <f>IF(PEDIDOS[[#This Row],[NUM DE SEMANA]]=4,0,_xlfn.XLOOKUP(PEDIDOS[[#This Row],[NUM DE SEMANA]],'[1]SEMANAS DE PAGAMENTO'!A:A,'[1]SEMANAS DE PAGAMENTO'!B:B,"VERIFICAR",-1))</f>
        <v>1.5E-3</v>
      </c>
      <c r="F92" s="11">
        <f t="shared" si="5"/>
        <v>14</v>
      </c>
      <c r="G92" s="11" t="str">
        <f t="shared" si="7"/>
        <v/>
      </c>
      <c r="H92" s="11" t="str">
        <f t="shared" si="7"/>
        <v/>
      </c>
      <c r="I92" s="11" t="str">
        <f t="shared" si="7"/>
        <v/>
      </c>
      <c r="J92" s="11" t="str">
        <f t="shared" si="6"/>
        <v/>
      </c>
      <c r="K92" s="11" t="str">
        <f t="shared" si="4"/>
        <v/>
      </c>
      <c r="L92" s="12" t="s">
        <v>407</v>
      </c>
      <c r="M92" s="12" t="s">
        <v>166</v>
      </c>
      <c r="N92" s="12" t="s">
        <v>408</v>
      </c>
      <c r="O92" s="12" t="s">
        <v>238</v>
      </c>
      <c r="P92" s="12" t="s">
        <v>54</v>
      </c>
      <c r="Q92" s="12" t="s">
        <v>409</v>
      </c>
      <c r="R92" s="13">
        <v>1901.51744887</v>
      </c>
      <c r="S92" s="13">
        <v>7001.8</v>
      </c>
      <c r="T92" s="13">
        <v>0</v>
      </c>
      <c r="U92" s="13">
        <v>0</v>
      </c>
      <c r="V92" s="13">
        <v>0</v>
      </c>
      <c r="W92" s="13">
        <v>0</v>
      </c>
      <c r="X92" s="12">
        <v>5</v>
      </c>
      <c r="Y92" s="12" t="s">
        <v>56</v>
      </c>
      <c r="Z92" s="12" t="s">
        <v>48</v>
      </c>
      <c r="AA92" s="12" t="s">
        <v>73</v>
      </c>
      <c r="AB92" s="14" t="str">
        <f>MID(PEDIDOS[[#This Row],[Vencimento(s)]],1,10)</f>
        <v>23/01/2026</v>
      </c>
      <c r="AC92" s="14" t="str">
        <f>MID(PEDIDOS[[#This Row],[Vencimento(s)]],14,10)</f>
        <v/>
      </c>
      <c r="AD92" s="14" t="str">
        <f>MID(PEDIDOS[[#This Row],[Vencimento(s)]],27,10)</f>
        <v/>
      </c>
      <c r="AE92" s="12" t="str">
        <f>MID(PEDIDOS[[#This Row],[Vencimento(s)]],40,10)</f>
        <v/>
      </c>
      <c r="AF92" s="12" t="str">
        <f>MID(PEDIDOS[[#This Row],[Vencimento(s)]],53,10)</f>
        <v/>
      </c>
    </row>
    <row r="93" spans="1:32" x14ac:dyDescent="0.25">
      <c r="A93" s="8" t="str">
        <f>_xlfn.CONCAT("001/",PEDIDOS[[#This Row],[Nota Fiscal]])</f>
        <v>001/000023272</v>
      </c>
      <c r="B93" s="8" t="str">
        <f>_xlfn.XLOOKUP(PEDIDOS[[#This Row],[NFS]],'[1]MOVIMENTAÇÃO DE ESTOQUE'!AA:AA,'[1]MOVIMENTAÇÃO DE ESTOQUE'!A:A,"NÃO",0,1)</f>
        <v>002004012</v>
      </c>
      <c r="C93" s="9">
        <f>IFERROR(SUM(PEDIDOS[[#This Row],[PRAZO 1]:[PRAZO 6]])/COUNT(PEDIDOS[[#This Row],[PRAZO 1]:[PRAZO 6]]),"VERIFICAR")</f>
        <v>42</v>
      </c>
      <c r="D93" s="9">
        <f>PEDIDOS[[#This Row],[PM]]/7</f>
        <v>6</v>
      </c>
      <c r="E93" s="10">
        <f>IF(PEDIDOS[[#This Row],[NUM DE SEMANA]]=4,0,_xlfn.XLOOKUP(PEDIDOS[[#This Row],[NUM DE SEMANA]],'[1]SEMANAS DE PAGAMENTO'!A:A,'[1]SEMANAS DE PAGAMENTO'!B:B,"VERIFICAR",-1))</f>
        <v>-1E-3</v>
      </c>
      <c r="F93" s="11">
        <f t="shared" si="5"/>
        <v>28</v>
      </c>
      <c r="G93" s="11">
        <f t="shared" si="7"/>
        <v>35</v>
      </c>
      <c r="H93" s="11">
        <f t="shared" si="7"/>
        <v>42</v>
      </c>
      <c r="I93" s="11">
        <f t="shared" si="7"/>
        <v>49</v>
      </c>
      <c r="J93" s="11">
        <f t="shared" si="6"/>
        <v>56</v>
      </c>
      <c r="K93" s="11" t="str">
        <f t="shared" si="4"/>
        <v/>
      </c>
      <c r="L93" s="12" t="s">
        <v>410</v>
      </c>
      <c r="M93" s="12" t="s">
        <v>59</v>
      </c>
      <c r="N93" s="12" t="s">
        <v>411</v>
      </c>
      <c r="O93" s="12" t="s">
        <v>53</v>
      </c>
      <c r="P93" s="12" t="s">
        <v>61</v>
      </c>
      <c r="Q93" s="12" t="s">
        <v>375</v>
      </c>
      <c r="R93" s="13">
        <v>2484.0466081978002</v>
      </c>
      <c r="S93" s="13">
        <v>10556.03</v>
      </c>
      <c r="T93" s="13">
        <v>0</v>
      </c>
      <c r="U93" s="13">
        <v>0</v>
      </c>
      <c r="V93" s="13">
        <v>0</v>
      </c>
      <c r="W93" s="13">
        <v>0</v>
      </c>
      <c r="X93" s="12">
        <v>1.2</v>
      </c>
      <c r="Y93" s="12" t="s">
        <v>412</v>
      </c>
      <c r="Z93" s="12" t="s">
        <v>48</v>
      </c>
      <c r="AA93" s="12" t="s">
        <v>413</v>
      </c>
      <c r="AB93" s="14" t="str">
        <f>MID(PEDIDOS[[#This Row],[Vencimento(s)]],1,10)</f>
        <v>24/02/2026</v>
      </c>
      <c r="AC93" s="14" t="str">
        <f>MID(PEDIDOS[[#This Row],[Vencimento(s)]],14,10)</f>
        <v>03/03/2026</v>
      </c>
      <c r="AD93" s="14" t="str">
        <f>MID(PEDIDOS[[#This Row],[Vencimento(s)]],27,10)</f>
        <v>10/03/2026</v>
      </c>
      <c r="AE93" s="12" t="str">
        <f>MID(PEDIDOS[[#This Row],[Vencimento(s)]],40,10)</f>
        <v>17/03/2026</v>
      </c>
      <c r="AF93" s="12" t="str">
        <f>MID(PEDIDOS[[#This Row],[Vencimento(s)]],53,10)</f>
        <v>24/03/2026</v>
      </c>
    </row>
    <row r="94" spans="1:32" x14ac:dyDescent="0.25">
      <c r="A94" s="8" t="str">
        <f>_xlfn.CONCAT("001/",PEDIDOS[[#This Row],[Nota Fiscal]])</f>
        <v>001/000023228</v>
      </c>
      <c r="B94" s="8" t="str">
        <f>_xlfn.XLOOKUP(PEDIDOS[[#This Row],[NFS]],'[1]MOVIMENTAÇÃO DE ESTOQUE'!AA:AA,'[1]MOVIMENTAÇÃO DE ESTOQUE'!A:A,"NÃO",0,1)</f>
        <v>002004121</v>
      </c>
      <c r="C94" s="9">
        <f>IFERROR(SUM(PEDIDOS[[#This Row],[PRAZO 1]:[PRAZO 6]])/COUNT(PEDIDOS[[#This Row],[PRAZO 1]:[PRAZO 6]]),"VERIFICAR")</f>
        <v>28</v>
      </c>
      <c r="D94" s="9">
        <f>PEDIDOS[[#This Row],[PM]]/7</f>
        <v>4</v>
      </c>
      <c r="E94" s="10">
        <f>IF(PEDIDOS[[#This Row],[NUM DE SEMANA]]=4,0,_xlfn.XLOOKUP(PEDIDOS[[#This Row],[NUM DE SEMANA]],'[1]SEMANAS DE PAGAMENTO'!A:A,'[1]SEMANAS DE PAGAMENTO'!B:B,"VERIFICAR",-1))</f>
        <v>0</v>
      </c>
      <c r="F94" s="11">
        <f t="shared" si="5"/>
        <v>21</v>
      </c>
      <c r="G94" s="11">
        <f t="shared" si="7"/>
        <v>28</v>
      </c>
      <c r="H94" s="11">
        <f t="shared" si="7"/>
        <v>35</v>
      </c>
      <c r="I94" s="11" t="str">
        <f t="shared" si="7"/>
        <v/>
      </c>
      <c r="J94" s="11" t="str">
        <f t="shared" si="6"/>
        <v/>
      </c>
      <c r="K94" s="11" t="str">
        <f t="shared" si="4"/>
        <v/>
      </c>
      <c r="L94" s="12" t="s">
        <v>414</v>
      </c>
      <c r="M94" s="12" t="s">
        <v>35</v>
      </c>
      <c r="N94" s="12" t="s">
        <v>415</v>
      </c>
      <c r="O94" s="12" t="s">
        <v>85</v>
      </c>
      <c r="P94" s="12" t="s">
        <v>54</v>
      </c>
      <c r="Q94" s="12" t="s">
        <v>416</v>
      </c>
      <c r="R94" s="13">
        <v>10929.567444230401</v>
      </c>
      <c r="S94" s="13">
        <v>39728.36</v>
      </c>
      <c r="T94" s="13">
        <v>0</v>
      </c>
      <c r="U94" s="13">
        <v>0</v>
      </c>
      <c r="V94" s="13">
        <v>0</v>
      </c>
      <c r="W94" s="13">
        <v>0</v>
      </c>
      <c r="X94" s="12">
        <v>4</v>
      </c>
      <c r="Y94" s="12" t="s">
        <v>63</v>
      </c>
      <c r="Z94" s="12" t="s">
        <v>48</v>
      </c>
      <c r="AA94" s="12" t="s">
        <v>294</v>
      </c>
      <c r="AB94" s="14" t="str">
        <f>MID(PEDIDOS[[#This Row],[Vencimento(s)]],1,10)</f>
        <v>12/02/2026</v>
      </c>
      <c r="AC94" s="14" t="str">
        <f>MID(PEDIDOS[[#This Row],[Vencimento(s)]],14,10)</f>
        <v>19/02/2026</v>
      </c>
      <c r="AD94" s="14" t="str">
        <f>MID(PEDIDOS[[#This Row],[Vencimento(s)]],27,10)</f>
        <v>26/02/2026</v>
      </c>
      <c r="AE94" s="12" t="str">
        <f>MID(PEDIDOS[[#This Row],[Vencimento(s)]],40,10)</f>
        <v/>
      </c>
      <c r="AF94" s="12" t="str">
        <f>MID(PEDIDOS[[#This Row],[Vencimento(s)]],53,10)</f>
        <v/>
      </c>
    </row>
    <row r="95" spans="1:32" x14ac:dyDescent="0.25">
      <c r="A95" s="8" t="str">
        <f>_xlfn.CONCAT("001/",PEDIDOS[[#This Row],[Nota Fiscal]])</f>
        <v>001/000023002</v>
      </c>
      <c r="B95" s="8" t="str">
        <f>_xlfn.XLOOKUP(PEDIDOS[[#This Row],[NFS]],'[1]MOVIMENTAÇÃO DE ESTOQUE'!AA:AA,'[1]MOVIMENTAÇÃO DE ESTOQUE'!A:A,"NÃO",0,1)</f>
        <v>007002013</v>
      </c>
      <c r="C95" s="9">
        <f>IFERROR(SUM(PEDIDOS[[#This Row],[PRAZO 1]:[PRAZO 6]])/COUNT(PEDIDOS[[#This Row],[PRAZO 1]:[PRAZO 6]]),"VERIFICAR")</f>
        <v>84</v>
      </c>
      <c r="D95" s="9">
        <f>PEDIDOS[[#This Row],[PM]]/7</f>
        <v>12</v>
      </c>
      <c r="E95" s="10">
        <f>IF(PEDIDOS[[#This Row],[NUM DE SEMANA]]=4,0,_xlfn.XLOOKUP(PEDIDOS[[#This Row],[NUM DE SEMANA]],'[1]SEMANAS DE PAGAMENTO'!A:A,'[1]SEMANAS DE PAGAMENTO'!B:B,"VERIFICAR",-1))</f>
        <v>-4.0000000000000001E-3</v>
      </c>
      <c r="F95" s="11">
        <f t="shared" si="5"/>
        <v>84</v>
      </c>
      <c r="G95" s="11" t="str">
        <f t="shared" si="7"/>
        <v/>
      </c>
      <c r="H95" s="11" t="str">
        <f t="shared" si="7"/>
        <v/>
      </c>
      <c r="I95" s="11" t="str">
        <f t="shared" si="7"/>
        <v/>
      </c>
      <c r="J95" s="11" t="str">
        <f t="shared" si="6"/>
        <v/>
      </c>
      <c r="K95" s="11" t="str">
        <f t="shared" si="4"/>
        <v/>
      </c>
      <c r="L95" s="12" t="s">
        <v>417</v>
      </c>
      <c r="M95" s="12" t="s">
        <v>328</v>
      </c>
      <c r="N95" s="12" t="s">
        <v>418</v>
      </c>
      <c r="O95" s="12" t="s">
        <v>275</v>
      </c>
      <c r="P95" s="12" t="s">
        <v>38</v>
      </c>
      <c r="Q95" s="12" t="s">
        <v>353</v>
      </c>
      <c r="R95" s="13">
        <v>24678.720000000001</v>
      </c>
      <c r="S95" s="13">
        <v>45000</v>
      </c>
      <c r="T95" s="13">
        <v>0</v>
      </c>
      <c r="U95" s="13">
        <v>0</v>
      </c>
      <c r="V95" s="13">
        <v>0</v>
      </c>
      <c r="W95" s="13">
        <v>0</v>
      </c>
      <c r="X95" s="12">
        <v>1440</v>
      </c>
      <c r="Y95" s="12" t="s">
        <v>419</v>
      </c>
      <c r="Z95" s="12" t="s">
        <v>41</v>
      </c>
      <c r="AA95" s="12" t="s">
        <v>355</v>
      </c>
      <c r="AB95" s="14" t="str">
        <f>MID(PEDIDOS[[#This Row],[Vencimento(s)]],1,10)</f>
        <v>31/03/2026</v>
      </c>
      <c r="AC95" s="14" t="str">
        <f>MID(PEDIDOS[[#This Row],[Vencimento(s)]],14,10)</f>
        <v/>
      </c>
      <c r="AD95" s="14" t="str">
        <f>MID(PEDIDOS[[#This Row],[Vencimento(s)]],27,10)</f>
        <v/>
      </c>
      <c r="AE95" s="12" t="str">
        <f>MID(PEDIDOS[[#This Row],[Vencimento(s)]],40,10)</f>
        <v/>
      </c>
      <c r="AF95" s="12" t="str">
        <f>MID(PEDIDOS[[#This Row],[Vencimento(s)]],53,10)</f>
        <v/>
      </c>
    </row>
    <row r="96" spans="1:32" x14ac:dyDescent="0.25">
      <c r="A96" s="8" t="str">
        <f>_xlfn.CONCAT("001/",PEDIDOS[[#This Row],[Nota Fiscal]])</f>
        <v>001/000023105</v>
      </c>
      <c r="B96" s="8" t="str">
        <f>_xlfn.XLOOKUP(PEDIDOS[[#This Row],[NFS]],'[1]MOVIMENTAÇÃO DE ESTOQUE'!AA:AA,'[1]MOVIMENTAÇÃO DE ESTOQUE'!A:A,"NÃO",0,1)</f>
        <v>090004005</v>
      </c>
      <c r="C96" s="9">
        <f>IFERROR(SUM(PEDIDOS[[#This Row],[PRAZO 1]:[PRAZO 6]])/COUNT(PEDIDOS[[#This Row],[PRAZO 1]:[PRAZO 6]]),"VERIFICAR")</f>
        <v>45</v>
      </c>
      <c r="D96" s="9">
        <f>PEDIDOS[[#This Row],[PM]]/7</f>
        <v>6.4285714285714288</v>
      </c>
      <c r="E96" s="10">
        <f>IF(PEDIDOS[[#This Row],[NUM DE SEMANA]]=4,0,_xlfn.XLOOKUP(PEDIDOS[[#This Row],[NUM DE SEMANA]],'[1]SEMANAS DE PAGAMENTO'!A:A,'[1]SEMANAS DE PAGAMENTO'!B:B,"VERIFICAR",-1))</f>
        <v>-1E-3</v>
      </c>
      <c r="F96" s="11">
        <f t="shared" si="5"/>
        <v>45</v>
      </c>
      <c r="G96" s="11" t="str">
        <f t="shared" si="7"/>
        <v/>
      </c>
      <c r="H96" s="11" t="str">
        <f t="shared" si="7"/>
        <v/>
      </c>
      <c r="I96" s="11" t="str">
        <f t="shared" si="7"/>
        <v/>
      </c>
      <c r="J96" s="11" t="str">
        <f t="shared" si="6"/>
        <v/>
      </c>
      <c r="K96" s="11" t="str">
        <f t="shared" si="4"/>
        <v/>
      </c>
      <c r="L96" s="12" t="s">
        <v>420</v>
      </c>
      <c r="M96" s="12" t="s">
        <v>59</v>
      </c>
      <c r="N96" s="12" t="s">
        <v>421</v>
      </c>
      <c r="O96" s="12" t="s">
        <v>190</v>
      </c>
      <c r="P96" s="12" t="s">
        <v>45</v>
      </c>
      <c r="Q96" s="12" t="s">
        <v>385</v>
      </c>
      <c r="R96" s="13">
        <v>20779.450311249599</v>
      </c>
      <c r="S96" s="13">
        <v>55797.04</v>
      </c>
      <c r="T96" s="13">
        <v>0</v>
      </c>
      <c r="U96" s="13">
        <v>0</v>
      </c>
      <c r="V96" s="13">
        <v>0</v>
      </c>
      <c r="W96" s="13">
        <v>0</v>
      </c>
      <c r="X96" s="12">
        <v>8</v>
      </c>
      <c r="Y96" s="12" t="s">
        <v>422</v>
      </c>
      <c r="Z96" s="12" t="s">
        <v>177</v>
      </c>
      <c r="AA96" s="12" t="s">
        <v>423</v>
      </c>
      <c r="AB96" s="14" t="str">
        <f>MID(PEDIDOS[[#This Row],[Vencimento(s)]],1,10)</f>
        <v>01/03/2026</v>
      </c>
      <c r="AC96" s="14" t="str">
        <f>MID(PEDIDOS[[#This Row],[Vencimento(s)]],14,10)</f>
        <v/>
      </c>
      <c r="AD96" s="14" t="str">
        <f>MID(PEDIDOS[[#This Row],[Vencimento(s)]],27,10)</f>
        <v/>
      </c>
      <c r="AE96" s="12" t="str">
        <f>MID(PEDIDOS[[#This Row],[Vencimento(s)]],40,10)</f>
        <v/>
      </c>
      <c r="AF96" s="12" t="str">
        <f>MID(PEDIDOS[[#This Row],[Vencimento(s)]],53,10)</f>
        <v/>
      </c>
    </row>
    <row r="97" spans="1:32" x14ac:dyDescent="0.25">
      <c r="A97" s="8" t="str">
        <f>_xlfn.CONCAT("001/",PEDIDOS[[#This Row],[Nota Fiscal]])</f>
        <v>001/000023147</v>
      </c>
      <c r="B97" s="8" t="str">
        <f>_xlfn.XLOOKUP(PEDIDOS[[#This Row],[NFS]],'[1]MOVIMENTAÇÃO DE ESTOQUE'!AA:AA,'[1]MOVIMENTAÇÃO DE ESTOQUE'!A:A,"NÃO",0,1)</f>
        <v>096004001</v>
      </c>
      <c r="C97" s="9">
        <f>IFERROR(SUM(PEDIDOS[[#This Row],[PRAZO 1]:[PRAZO 6]])/COUNT(PEDIDOS[[#This Row],[PRAZO 1]:[PRAZO 6]]),"VERIFICAR")</f>
        <v>42</v>
      </c>
      <c r="D97" s="9">
        <f>PEDIDOS[[#This Row],[PM]]/7</f>
        <v>6</v>
      </c>
      <c r="E97" s="10">
        <f>IF(PEDIDOS[[#This Row],[NUM DE SEMANA]]=4,0,_xlfn.XLOOKUP(PEDIDOS[[#This Row],[NUM DE SEMANA]],'[1]SEMANAS DE PAGAMENTO'!A:A,'[1]SEMANAS DE PAGAMENTO'!B:B,"VERIFICAR",-1))</f>
        <v>-1E-3</v>
      </c>
      <c r="F97" s="11">
        <f t="shared" si="5"/>
        <v>42</v>
      </c>
      <c r="G97" s="11" t="str">
        <f t="shared" si="7"/>
        <v/>
      </c>
      <c r="H97" s="11" t="str">
        <f t="shared" si="7"/>
        <v/>
      </c>
      <c r="I97" s="11" t="str">
        <f t="shared" si="7"/>
        <v/>
      </c>
      <c r="J97" s="11" t="str">
        <f t="shared" si="6"/>
        <v/>
      </c>
      <c r="K97" s="11" t="str">
        <f t="shared" si="4"/>
        <v/>
      </c>
      <c r="L97" s="12" t="s">
        <v>424</v>
      </c>
      <c r="M97" s="12" t="s">
        <v>35</v>
      </c>
      <c r="N97" s="12" t="s">
        <v>425</v>
      </c>
      <c r="O97" s="12" t="s">
        <v>149</v>
      </c>
      <c r="P97" s="12" t="s">
        <v>38</v>
      </c>
      <c r="Q97" s="12" t="s">
        <v>205</v>
      </c>
      <c r="R97" s="13">
        <v>34687.258229519997</v>
      </c>
      <c r="S97" s="13">
        <v>76455.600000000006</v>
      </c>
      <c r="T97" s="13">
        <v>0</v>
      </c>
      <c r="U97" s="13">
        <v>0</v>
      </c>
      <c r="V97" s="13">
        <v>0</v>
      </c>
      <c r="W97" s="13">
        <v>0</v>
      </c>
      <c r="X97" s="12">
        <v>60</v>
      </c>
      <c r="Y97" s="12" t="s">
        <v>426</v>
      </c>
      <c r="Z97" s="12" t="s">
        <v>48</v>
      </c>
      <c r="AA97" s="12" t="s">
        <v>235</v>
      </c>
      <c r="AB97" s="14" t="str">
        <f>MID(PEDIDOS[[#This Row],[Vencimento(s)]],1,10)</f>
        <v>02/03/2026</v>
      </c>
      <c r="AC97" s="14" t="str">
        <f>MID(PEDIDOS[[#This Row],[Vencimento(s)]],14,10)</f>
        <v/>
      </c>
      <c r="AD97" s="14" t="str">
        <f>MID(PEDIDOS[[#This Row],[Vencimento(s)]],27,10)</f>
        <v/>
      </c>
      <c r="AE97" s="12" t="str">
        <f>MID(PEDIDOS[[#This Row],[Vencimento(s)]],40,10)</f>
        <v/>
      </c>
      <c r="AF97" s="12" t="str">
        <f>MID(PEDIDOS[[#This Row],[Vencimento(s)]],53,10)</f>
        <v/>
      </c>
    </row>
    <row r="98" spans="1:32" x14ac:dyDescent="0.25">
      <c r="A98" s="8" t="str">
        <f>_xlfn.CONCAT("001/",PEDIDOS[[#This Row],[Nota Fiscal]])</f>
        <v>001/000023069</v>
      </c>
      <c r="B98" s="8" t="str">
        <f>_xlfn.XLOOKUP(PEDIDOS[[#This Row],[NFS]],'[1]MOVIMENTAÇÃO DE ESTOQUE'!AA:AA,'[1]MOVIMENTAÇÃO DE ESTOQUE'!A:A,"NÃO",0,1)</f>
        <v>030004008</v>
      </c>
      <c r="C98" s="9">
        <f>IFERROR(SUM(PEDIDOS[[#This Row],[PRAZO 1]:[PRAZO 6]])/COUNT(PEDIDOS[[#This Row],[PRAZO 1]:[PRAZO 6]]),"VERIFICAR")</f>
        <v>45</v>
      </c>
      <c r="D98" s="9">
        <f>PEDIDOS[[#This Row],[PM]]/7</f>
        <v>6.4285714285714288</v>
      </c>
      <c r="E98" s="10">
        <f>IF(PEDIDOS[[#This Row],[NUM DE SEMANA]]=4,0,_xlfn.XLOOKUP(PEDIDOS[[#This Row],[NUM DE SEMANA]],'[1]SEMANAS DE PAGAMENTO'!A:A,'[1]SEMANAS DE PAGAMENTO'!B:B,"VERIFICAR",-1))</f>
        <v>-1E-3</v>
      </c>
      <c r="F98" s="11">
        <f t="shared" si="5"/>
        <v>45</v>
      </c>
      <c r="G98" s="11" t="str">
        <f t="shared" si="7"/>
        <v/>
      </c>
      <c r="H98" s="11" t="str">
        <f t="shared" si="7"/>
        <v/>
      </c>
      <c r="I98" s="11" t="str">
        <f t="shared" si="7"/>
        <v/>
      </c>
      <c r="J98" s="11" t="str">
        <f t="shared" si="6"/>
        <v/>
      </c>
      <c r="K98" s="11" t="str">
        <f t="shared" si="4"/>
        <v/>
      </c>
      <c r="L98" s="12" t="s">
        <v>427</v>
      </c>
      <c r="M98" s="12" t="s">
        <v>35</v>
      </c>
      <c r="N98" s="12" t="s">
        <v>428</v>
      </c>
      <c r="O98" s="12" t="s">
        <v>268</v>
      </c>
      <c r="P98" s="12" t="s">
        <v>45</v>
      </c>
      <c r="Q98" s="12" t="s">
        <v>205</v>
      </c>
      <c r="R98" s="13">
        <v>25289.266162988501</v>
      </c>
      <c r="S98" s="13">
        <v>94985.29</v>
      </c>
      <c r="T98" s="13">
        <v>0</v>
      </c>
      <c r="U98" s="13">
        <v>0</v>
      </c>
      <c r="V98" s="13">
        <v>0</v>
      </c>
      <c r="W98" s="13">
        <v>0</v>
      </c>
      <c r="X98" s="12">
        <v>367</v>
      </c>
      <c r="Y98" s="12" t="s">
        <v>429</v>
      </c>
      <c r="Z98" s="12" t="s">
        <v>48</v>
      </c>
      <c r="AA98" s="12" t="s">
        <v>430</v>
      </c>
      <c r="AB98" s="14" t="str">
        <f>MID(PEDIDOS[[#This Row],[Vencimento(s)]],1,10)</f>
        <v>26/02/2026</v>
      </c>
      <c r="AC98" s="14" t="str">
        <f>MID(PEDIDOS[[#This Row],[Vencimento(s)]],14,10)</f>
        <v/>
      </c>
      <c r="AD98" s="14" t="str">
        <f>MID(PEDIDOS[[#This Row],[Vencimento(s)]],27,10)</f>
        <v/>
      </c>
      <c r="AE98" s="12" t="str">
        <f>MID(PEDIDOS[[#This Row],[Vencimento(s)]],40,10)</f>
        <v/>
      </c>
      <c r="AF98" s="12" t="str">
        <f>MID(PEDIDOS[[#This Row],[Vencimento(s)]],53,10)</f>
        <v/>
      </c>
    </row>
    <row r="99" spans="1:32" x14ac:dyDescent="0.25">
      <c r="A99" s="8" t="str">
        <f>_xlfn.CONCAT("001/",PEDIDOS[[#This Row],[Nota Fiscal]])</f>
        <v>001/000023162</v>
      </c>
      <c r="B99" s="8" t="str">
        <f>_xlfn.XLOOKUP(PEDIDOS[[#This Row],[NFS]],'[1]MOVIMENTAÇÃO DE ESTOQUE'!AA:AA,'[1]MOVIMENTAÇÃO DE ESTOQUE'!A:A,"NÃO",0,1)</f>
        <v>112004001</v>
      </c>
      <c r="C99" s="9">
        <f>IFERROR(SUM(PEDIDOS[[#This Row],[PRAZO 1]:[PRAZO 6]])/COUNT(PEDIDOS[[#This Row],[PRAZO 1]:[PRAZO 6]]),"VERIFICAR")</f>
        <v>50</v>
      </c>
      <c r="D99" s="9">
        <f>PEDIDOS[[#This Row],[PM]]/7</f>
        <v>7.1428571428571432</v>
      </c>
      <c r="E99" s="10">
        <f>IF(PEDIDOS[[#This Row],[NUM DE SEMANA]]=4,0,_xlfn.XLOOKUP(PEDIDOS[[#This Row],[NUM DE SEMANA]],'[1]SEMANAS DE PAGAMENTO'!A:A,'[1]SEMANAS DE PAGAMENTO'!B:B,"VERIFICAR",-1))</f>
        <v>-1.5E-3</v>
      </c>
      <c r="F99" s="11">
        <f t="shared" si="5"/>
        <v>50</v>
      </c>
      <c r="G99" s="11" t="str">
        <f t="shared" si="7"/>
        <v/>
      </c>
      <c r="H99" s="11" t="str">
        <f t="shared" si="7"/>
        <v/>
      </c>
      <c r="I99" s="11" t="str">
        <f t="shared" si="7"/>
        <v/>
      </c>
      <c r="J99" s="11" t="str">
        <f t="shared" si="6"/>
        <v/>
      </c>
      <c r="K99" s="11" t="str">
        <f t="shared" si="4"/>
        <v/>
      </c>
      <c r="L99" s="12" t="s">
        <v>431</v>
      </c>
      <c r="M99" s="12" t="s">
        <v>166</v>
      </c>
      <c r="N99" s="12" t="s">
        <v>432</v>
      </c>
      <c r="O99" s="12" t="s">
        <v>149</v>
      </c>
      <c r="P99" s="12" t="s">
        <v>45</v>
      </c>
      <c r="Q99" s="12" t="s">
        <v>433</v>
      </c>
      <c r="R99" s="13">
        <v>350236.06435124</v>
      </c>
      <c r="S99" s="13">
        <v>650192.9</v>
      </c>
      <c r="T99" s="13">
        <v>0</v>
      </c>
      <c r="U99" s="13">
        <v>0</v>
      </c>
      <c r="V99" s="13">
        <v>0</v>
      </c>
      <c r="W99" s="13">
        <v>0</v>
      </c>
      <c r="X99" s="12">
        <v>380</v>
      </c>
      <c r="Y99" s="12" t="s">
        <v>434</v>
      </c>
      <c r="Z99" s="12" t="s">
        <v>48</v>
      </c>
      <c r="AA99" s="12" t="s">
        <v>435</v>
      </c>
      <c r="AB99" s="14" t="str">
        <f>MID(PEDIDOS[[#This Row],[Vencimento(s)]],1,10)</f>
        <v>10/03/2026</v>
      </c>
      <c r="AC99" s="14" t="str">
        <f>MID(PEDIDOS[[#This Row],[Vencimento(s)]],14,10)</f>
        <v/>
      </c>
      <c r="AD99" s="14" t="str">
        <f>MID(PEDIDOS[[#This Row],[Vencimento(s)]],27,10)</f>
        <v/>
      </c>
      <c r="AE99" s="12" t="str">
        <f>MID(PEDIDOS[[#This Row],[Vencimento(s)]],40,10)</f>
        <v/>
      </c>
      <c r="AF99" s="12" t="str">
        <f>MID(PEDIDOS[[#This Row],[Vencimento(s)]],53,10)</f>
        <v/>
      </c>
    </row>
    <row r="100" spans="1:32" x14ac:dyDescent="0.25">
      <c r="A100" s="8" t="str">
        <f>_xlfn.CONCAT("001/",PEDIDOS[[#This Row],[Nota Fiscal]])</f>
        <v>001/000022986</v>
      </c>
      <c r="B100" s="8" t="str">
        <f>_xlfn.XLOOKUP(PEDIDOS[[#This Row],[NFS]],'[1]MOVIMENTAÇÃO DE ESTOQUE'!AA:AA,'[1]MOVIMENTAÇÃO DE ESTOQUE'!A:A,"NÃO",0,1)</f>
        <v>026005004</v>
      </c>
      <c r="C100" s="9">
        <f>IFERROR(SUM(PEDIDOS[[#This Row],[PRAZO 1]:[PRAZO 6]])/COUNT(PEDIDOS[[#This Row],[PRAZO 1]:[PRAZO 6]]),"VERIFICAR")</f>
        <v>31.5</v>
      </c>
      <c r="D100" s="9">
        <f>PEDIDOS[[#This Row],[PM]]/7</f>
        <v>4.5</v>
      </c>
      <c r="E100" s="10">
        <f>IF(PEDIDOS[[#This Row],[NUM DE SEMANA]]=4,0,_xlfn.XLOOKUP(PEDIDOS[[#This Row],[NUM DE SEMANA]],'[1]SEMANAS DE PAGAMENTO'!A:A,'[1]SEMANAS DE PAGAMENTO'!B:B,"VERIFICAR",-1))</f>
        <v>5.0000000000000001E-4</v>
      </c>
      <c r="F100" s="11">
        <f t="shared" si="5"/>
        <v>28</v>
      </c>
      <c r="G100" s="11">
        <f t="shared" si="7"/>
        <v>35</v>
      </c>
      <c r="H100" s="11" t="str">
        <f t="shared" si="7"/>
        <v/>
      </c>
      <c r="I100" s="11" t="str">
        <f t="shared" si="7"/>
        <v/>
      </c>
      <c r="J100" s="11" t="str">
        <f t="shared" si="6"/>
        <v/>
      </c>
      <c r="K100" s="11" t="str">
        <f t="shared" si="4"/>
        <v/>
      </c>
      <c r="L100" s="12" t="s">
        <v>436</v>
      </c>
      <c r="M100" s="12" t="s">
        <v>59</v>
      </c>
      <c r="N100" s="12" t="s">
        <v>437</v>
      </c>
      <c r="O100" s="12" t="s">
        <v>275</v>
      </c>
      <c r="P100" s="12" t="s">
        <v>45</v>
      </c>
      <c r="Q100" s="12" t="s">
        <v>438</v>
      </c>
      <c r="R100" s="13">
        <v>10190.479296240001</v>
      </c>
      <c r="S100" s="13">
        <v>19022.75</v>
      </c>
      <c r="T100" s="13">
        <v>0</v>
      </c>
      <c r="U100" s="13">
        <v>0</v>
      </c>
      <c r="V100" s="13">
        <v>0</v>
      </c>
      <c r="W100" s="13">
        <v>0</v>
      </c>
      <c r="X100" s="12">
        <v>25</v>
      </c>
      <c r="Y100" s="12" t="s">
        <v>63</v>
      </c>
      <c r="Z100" s="12" t="s">
        <v>48</v>
      </c>
      <c r="AA100" s="12" t="s">
        <v>259</v>
      </c>
      <c r="AB100" s="14" t="str">
        <f>MID(PEDIDOS[[#This Row],[Vencimento(s)]],1,10)</f>
        <v>03/02/2026</v>
      </c>
      <c r="AC100" s="14" t="str">
        <f>MID(PEDIDOS[[#This Row],[Vencimento(s)]],14,10)</f>
        <v>10/02/2026</v>
      </c>
      <c r="AD100" s="14" t="str">
        <f>MID(PEDIDOS[[#This Row],[Vencimento(s)]],27,10)</f>
        <v/>
      </c>
      <c r="AE100" s="12" t="str">
        <f>MID(PEDIDOS[[#This Row],[Vencimento(s)]],40,10)</f>
        <v/>
      </c>
      <c r="AF100" s="12" t="str">
        <f>MID(PEDIDOS[[#This Row],[Vencimento(s)]],53,10)</f>
        <v/>
      </c>
    </row>
    <row r="101" spans="1:32" x14ac:dyDescent="0.25">
      <c r="A101" s="8" t="str">
        <f>_xlfn.CONCAT("001/",PEDIDOS[[#This Row],[Nota Fiscal]])</f>
        <v>001/000023012</v>
      </c>
      <c r="B101" s="8" t="str">
        <f>_xlfn.XLOOKUP(PEDIDOS[[#This Row],[NFS]],'[1]MOVIMENTAÇÃO DE ESTOQUE'!AA:AA,'[1]MOVIMENTAÇÃO DE ESTOQUE'!A:A,"NÃO",0,1)</f>
        <v>030004007</v>
      </c>
      <c r="C101" s="9">
        <f>IFERROR(SUM(PEDIDOS[[#This Row],[PRAZO 1]:[PRAZO 6]])/COUNT(PEDIDOS[[#This Row],[PRAZO 1]:[PRAZO 6]]),"VERIFICAR")</f>
        <v>28</v>
      </c>
      <c r="D101" s="9">
        <f>PEDIDOS[[#This Row],[PM]]/7</f>
        <v>4</v>
      </c>
      <c r="E101" s="10">
        <f>IF(PEDIDOS[[#This Row],[NUM DE SEMANA]]=4,0,_xlfn.XLOOKUP(PEDIDOS[[#This Row],[NUM DE SEMANA]],'[1]SEMANAS DE PAGAMENTO'!A:A,'[1]SEMANAS DE PAGAMENTO'!B:B,"VERIFICAR",-1))</f>
        <v>0</v>
      </c>
      <c r="F101" s="11">
        <f t="shared" si="5"/>
        <v>28</v>
      </c>
      <c r="G101" s="11" t="str">
        <f t="shared" si="7"/>
        <v/>
      </c>
      <c r="H101" s="11" t="str">
        <f t="shared" si="7"/>
        <v/>
      </c>
      <c r="I101" s="11" t="str">
        <f t="shared" si="7"/>
        <v/>
      </c>
      <c r="J101" s="11" t="str">
        <f t="shared" si="6"/>
        <v/>
      </c>
      <c r="K101" s="11" t="str">
        <f t="shared" si="4"/>
        <v/>
      </c>
      <c r="L101" s="12" t="s">
        <v>439</v>
      </c>
      <c r="M101" s="12" t="s">
        <v>59</v>
      </c>
      <c r="N101" s="12" t="s">
        <v>440</v>
      </c>
      <c r="O101" s="12" t="s">
        <v>258</v>
      </c>
      <c r="P101" s="12" t="s">
        <v>38</v>
      </c>
      <c r="Q101" s="12" t="s">
        <v>366</v>
      </c>
      <c r="R101" s="13">
        <v>3409.8031634225999</v>
      </c>
      <c r="S101" s="13">
        <v>8719.92</v>
      </c>
      <c r="T101" s="13">
        <v>0</v>
      </c>
      <c r="U101" s="13">
        <v>0</v>
      </c>
      <c r="V101" s="13">
        <v>0</v>
      </c>
      <c r="W101" s="13">
        <v>0</v>
      </c>
      <c r="X101" s="12">
        <v>6</v>
      </c>
      <c r="Y101" s="12" t="s">
        <v>441</v>
      </c>
      <c r="Z101" s="12" t="s">
        <v>41</v>
      </c>
      <c r="AA101" s="12" t="s">
        <v>396</v>
      </c>
      <c r="AB101" s="14" t="str">
        <f>MID(PEDIDOS[[#This Row],[Vencimento(s)]],1,10)</f>
        <v>04/02/2026</v>
      </c>
      <c r="AC101" s="14" t="str">
        <f>MID(PEDIDOS[[#This Row],[Vencimento(s)]],14,10)</f>
        <v/>
      </c>
      <c r="AD101" s="14" t="str">
        <f>MID(PEDIDOS[[#This Row],[Vencimento(s)]],27,10)</f>
        <v/>
      </c>
      <c r="AE101" s="12" t="str">
        <f>MID(PEDIDOS[[#This Row],[Vencimento(s)]],40,10)</f>
        <v/>
      </c>
      <c r="AF101" s="12" t="str">
        <f>MID(PEDIDOS[[#This Row],[Vencimento(s)]],53,10)</f>
        <v/>
      </c>
    </row>
    <row r="102" spans="1:32" x14ac:dyDescent="0.25">
      <c r="A102" s="8" t="str">
        <f>_xlfn.CONCAT("001/",PEDIDOS[[#This Row],[Nota Fiscal]])</f>
        <v>001/000023200</v>
      </c>
      <c r="B102" s="8" t="str">
        <f>_xlfn.XLOOKUP(PEDIDOS[[#This Row],[NFS]],'[1]MOVIMENTAÇÃO DE ESTOQUE'!AA:AA,'[1]MOVIMENTAÇÃO DE ESTOQUE'!A:A,"NÃO",0,1)</f>
        <v>031004006</v>
      </c>
      <c r="C102" s="9">
        <f>IFERROR(SUM(PEDIDOS[[#This Row],[PRAZO 1]:[PRAZO 6]])/COUNT(PEDIDOS[[#This Row],[PRAZO 1]:[PRAZO 6]]),"VERIFICAR")</f>
        <v>30</v>
      </c>
      <c r="D102" s="9">
        <f>PEDIDOS[[#This Row],[PM]]/7</f>
        <v>4.2857142857142856</v>
      </c>
      <c r="E102" s="10">
        <f>IF(PEDIDOS[[#This Row],[NUM DE SEMANA]]=4,0,_xlfn.XLOOKUP(PEDIDOS[[#This Row],[NUM DE SEMANA]],'[1]SEMANAS DE PAGAMENTO'!A:A,'[1]SEMANAS DE PAGAMENTO'!B:B,"VERIFICAR",-1))</f>
        <v>5.0000000000000001E-4</v>
      </c>
      <c r="F102" s="11">
        <f t="shared" si="5"/>
        <v>30</v>
      </c>
      <c r="G102" s="11" t="str">
        <f t="shared" si="7"/>
        <v/>
      </c>
      <c r="H102" s="11" t="str">
        <f t="shared" si="7"/>
        <v/>
      </c>
      <c r="I102" s="11" t="str">
        <f t="shared" si="7"/>
        <v/>
      </c>
      <c r="J102" s="11" t="str">
        <f t="shared" si="6"/>
        <v/>
      </c>
      <c r="K102" s="11" t="str">
        <f t="shared" si="4"/>
        <v/>
      </c>
      <c r="L102" s="12" t="s">
        <v>442</v>
      </c>
      <c r="M102" s="12" t="s">
        <v>35</v>
      </c>
      <c r="N102" s="12" t="s">
        <v>443</v>
      </c>
      <c r="O102" s="12" t="s">
        <v>168</v>
      </c>
      <c r="P102" s="12" t="s">
        <v>61</v>
      </c>
      <c r="Q102" s="12" t="s">
        <v>444</v>
      </c>
      <c r="R102" s="13">
        <v>8497.1200000000008</v>
      </c>
      <c r="S102" s="13">
        <v>19058.05</v>
      </c>
      <c r="T102" s="13">
        <v>0</v>
      </c>
      <c r="U102" s="13">
        <v>0</v>
      </c>
      <c r="V102" s="13">
        <v>0</v>
      </c>
      <c r="W102" s="13">
        <v>0</v>
      </c>
      <c r="X102" s="12">
        <v>5</v>
      </c>
      <c r="Y102" s="12" t="s">
        <v>445</v>
      </c>
      <c r="Z102" s="12" t="s">
        <v>41</v>
      </c>
      <c r="AA102" s="12" t="s">
        <v>349</v>
      </c>
      <c r="AB102" s="14" t="str">
        <f>MID(PEDIDOS[[#This Row],[Vencimento(s)]],1,10)</f>
        <v>20/02/2026</v>
      </c>
      <c r="AC102" s="14" t="str">
        <f>MID(PEDIDOS[[#This Row],[Vencimento(s)]],14,10)</f>
        <v/>
      </c>
      <c r="AD102" s="14" t="str">
        <f>MID(PEDIDOS[[#This Row],[Vencimento(s)]],27,10)</f>
        <v/>
      </c>
      <c r="AE102" s="12" t="str">
        <f>MID(PEDIDOS[[#This Row],[Vencimento(s)]],40,10)</f>
        <v/>
      </c>
      <c r="AF102" s="12" t="str">
        <f>MID(PEDIDOS[[#This Row],[Vencimento(s)]],53,10)</f>
        <v/>
      </c>
    </row>
    <row r="103" spans="1:32" x14ac:dyDescent="0.25">
      <c r="A103" s="8" t="str">
        <f>_xlfn.CONCAT("001/",PEDIDOS[[#This Row],[Nota Fiscal]])</f>
        <v>001/000023095</v>
      </c>
      <c r="B103" s="8" t="str">
        <f>_xlfn.XLOOKUP(PEDIDOS[[#This Row],[NFS]],'[1]MOVIMENTAÇÃO DE ESTOQUE'!AA:AA,'[1]MOVIMENTAÇÃO DE ESTOQUE'!A:A,"NÃO",0,1)</f>
        <v>001004010</v>
      </c>
      <c r="C103" s="9">
        <f>IFERROR(SUM(PEDIDOS[[#This Row],[PRAZO 1]:[PRAZO 6]])/COUNT(PEDIDOS[[#This Row],[PRAZO 1]:[PRAZO 6]]),"VERIFICAR")</f>
        <v>35</v>
      </c>
      <c r="D103" s="9">
        <f>PEDIDOS[[#This Row],[PM]]/7</f>
        <v>5</v>
      </c>
      <c r="E103" s="10">
        <f>IF(PEDIDOS[[#This Row],[NUM DE SEMANA]]=4,0,_xlfn.XLOOKUP(PEDIDOS[[#This Row],[NUM DE SEMANA]],'[1]SEMANAS DE PAGAMENTO'!A:A,'[1]SEMANAS DE PAGAMENTO'!B:B,"VERIFICAR",-1))</f>
        <v>-5.0000000000000001E-4</v>
      </c>
      <c r="F103" s="11">
        <f t="shared" si="5"/>
        <v>28</v>
      </c>
      <c r="G103" s="11">
        <f t="shared" si="7"/>
        <v>35</v>
      </c>
      <c r="H103" s="11">
        <f t="shared" si="7"/>
        <v>42</v>
      </c>
      <c r="I103" s="11" t="str">
        <f t="shared" si="7"/>
        <v/>
      </c>
      <c r="J103" s="11" t="str">
        <f t="shared" si="6"/>
        <v/>
      </c>
      <c r="K103" s="11" t="str">
        <f t="shared" si="4"/>
        <v/>
      </c>
      <c r="L103" s="12" t="s">
        <v>446</v>
      </c>
      <c r="M103" s="12" t="s">
        <v>59</v>
      </c>
      <c r="N103" s="12" t="s">
        <v>447</v>
      </c>
      <c r="O103" s="12" t="s">
        <v>204</v>
      </c>
      <c r="P103" s="12" t="s">
        <v>61</v>
      </c>
      <c r="Q103" s="12" t="s">
        <v>448</v>
      </c>
      <c r="R103" s="13">
        <v>658.36235046110005</v>
      </c>
      <c r="S103" s="13">
        <v>2396.69</v>
      </c>
      <c r="T103" s="13">
        <v>0</v>
      </c>
      <c r="U103" s="13">
        <v>0</v>
      </c>
      <c r="V103" s="13">
        <v>0</v>
      </c>
      <c r="W103" s="13">
        <v>0</v>
      </c>
      <c r="X103" s="12">
        <v>1</v>
      </c>
      <c r="Y103" s="12" t="s">
        <v>449</v>
      </c>
      <c r="Z103" s="12" t="s">
        <v>48</v>
      </c>
      <c r="AA103" s="12" t="s">
        <v>450</v>
      </c>
      <c r="AB103" s="14" t="str">
        <f>MID(PEDIDOS[[#This Row],[Vencimento(s)]],1,10)</f>
        <v>11/02/2026</v>
      </c>
      <c r="AC103" s="14" t="str">
        <f>MID(PEDIDOS[[#This Row],[Vencimento(s)]],14,10)</f>
        <v>18/02/2026</v>
      </c>
      <c r="AD103" s="14" t="str">
        <f>MID(PEDIDOS[[#This Row],[Vencimento(s)]],27,10)</f>
        <v>25/02/2026</v>
      </c>
      <c r="AE103" s="12" t="str">
        <f>MID(PEDIDOS[[#This Row],[Vencimento(s)]],40,10)</f>
        <v/>
      </c>
      <c r="AF103" s="12" t="str">
        <f>MID(PEDIDOS[[#This Row],[Vencimento(s)]],53,10)</f>
        <v/>
      </c>
    </row>
    <row r="104" spans="1:32" x14ac:dyDescent="0.25">
      <c r="A104" s="8" t="str">
        <f>_xlfn.CONCAT("001/",PEDIDOS[[#This Row],[Nota Fiscal]])</f>
        <v>001/000023078</v>
      </c>
      <c r="B104" s="8" t="str">
        <f>_xlfn.XLOOKUP(PEDIDOS[[#This Row],[NFS]],'[1]MOVIMENTAÇÃO DE ESTOQUE'!AA:AA,'[1]MOVIMENTAÇÃO DE ESTOQUE'!A:A,"NÃO",0,1)</f>
        <v>030004051</v>
      </c>
      <c r="C104" s="9">
        <f>IFERROR(SUM(PEDIDOS[[#This Row],[PRAZO 1]:[PRAZO 6]])/COUNT(PEDIDOS[[#This Row],[PRAZO 1]:[PRAZO 6]]),"VERIFICAR")</f>
        <v>28</v>
      </c>
      <c r="D104" s="9">
        <f>PEDIDOS[[#This Row],[PM]]/7</f>
        <v>4</v>
      </c>
      <c r="E104" s="10">
        <f>IF(PEDIDOS[[#This Row],[NUM DE SEMANA]]=4,0,_xlfn.XLOOKUP(PEDIDOS[[#This Row],[NUM DE SEMANA]],'[1]SEMANAS DE PAGAMENTO'!A:A,'[1]SEMANAS DE PAGAMENTO'!B:B,"VERIFICAR",-1))</f>
        <v>0</v>
      </c>
      <c r="F104" s="11">
        <f t="shared" si="5"/>
        <v>28</v>
      </c>
      <c r="G104" s="11" t="str">
        <f t="shared" si="7"/>
        <v/>
      </c>
      <c r="H104" s="11" t="str">
        <f t="shared" si="7"/>
        <v/>
      </c>
      <c r="I104" s="11" t="str">
        <f t="shared" si="7"/>
        <v/>
      </c>
      <c r="J104" s="11" t="str">
        <f t="shared" si="6"/>
        <v/>
      </c>
      <c r="K104" s="11" t="str">
        <f t="shared" si="4"/>
        <v/>
      </c>
      <c r="L104" s="12" t="s">
        <v>451</v>
      </c>
      <c r="M104" s="12" t="s">
        <v>35</v>
      </c>
      <c r="N104" s="12" t="s">
        <v>452</v>
      </c>
      <c r="O104" s="12" t="s">
        <v>453</v>
      </c>
      <c r="P104" s="12" t="s">
        <v>61</v>
      </c>
      <c r="Q104" s="12" t="s">
        <v>454</v>
      </c>
      <c r="R104" s="13">
        <v>2571.6837118236999</v>
      </c>
      <c r="S104" s="13">
        <v>12182.54</v>
      </c>
      <c r="T104" s="13">
        <v>0</v>
      </c>
      <c r="U104" s="13">
        <v>0</v>
      </c>
      <c r="V104" s="13">
        <v>0</v>
      </c>
      <c r="W104" s="13">
        <v>0</v>
      </c>
      <c r="X104" s="12">
        <v>51</v>
      </c>
      <c r="Y104" s="12" t="s">
        <v>455</v>
      </c>
      <c r="Z104" s="12" t="s">
        <v>48</v>
      </c>
      <c r="AA104" s="12" t="s">
        <v>98</v>
      </c>
      <c r="AB104" s="14" t="str">
        <f>MID(PEDIDOS[[#This Row],[Vencimento(s)]],1,10)</f>
        <v>10/02/2026</v>
      </c>
      <c r="AC104" s="14" t="str">
        <f>MID(PEDIDOS[[#This Row],[Vencimento(s)]],14,10)</f>
        <v/>
      </c>
      <c r="AD104" s="14" t="str">
        <f>MID(PEDIDOS[[#This Row],[Vencimento(s)]],27,10)</f>
        <v/>
      </c>
      <c r="AE104" s="12" t="str">
        <f>MID(PEDIDOS[[#This Row],[Vencimento(s)]],40,10)</f>
        <v/>
      </c>
      <c r="AF104" s="12" t="str">
        <f>MID(PEDIDOS[[#This Row],[Vencimento(s)]],53,10)</f>
        <v/>
      </c>
    </row>
    <row r="105" spans="1:32" x14ac:dyDescent="0.25">
      <c r="A105" s="8" t="str">
        <f>_xlfn.CONCAT("001/",PEDIDOS[[#This Row],[Nota Fiscal]])</f>
        <v>001/000023201</v>
      </c>
      <c r="B105" s="8" t="str">
        <f>_xlfn.XLOOKUP(PEDIDOS[[#This Row],[NFS]],'[1]MOVIMENTAÇÃO DE ESTOQUE'!AA:AA,'[1]MOVIMENTAÇÃO DE ESTOQUE'!A:A,"NÃO",0,1)</f>
        <v>066004001</v>
      </c>
      <c r="C105" s="9">
        <f>IFERROR(SUM(PEDIDOS[[#This Row],[PRAZO 1]:[PRAZO 6]])/COUNT(PEDIDOS[[#This Row],[PRAZO 1]:[PRAZO 6]]),"VERIFICAR")</f>
        <v>30</v>
      </c>
      <c r="D105" s="9">
        <f>PEDIDOS[[#This Row],[PM]]/7</f>
        <v>4.2857142857142856</v>
      </c>
      <c r="E105" s="10">
        <f>IF(PEDIDOS[[#This Row],[NUM DE SEMANA]]=4,0,_xlfn.XLOOKUP(PEDIDOS[[#This Row],[NUM DE SEMANA]],'[1]SEMANAS DE PAGAMENTO'!A:A,'[1]SEMANAS DE PAGAMENTO'!B:B,"VERIFICAR",-1))</f>
        <v>5.0000000000000001E-4</v>
      </c>
      <c r="F105" s="11">
        <f t="shared" si="5"/>
        <v>30</v>
      </c>
      <c r="G105" s="11" t="str">
        <f t="shared" si="7"/>
        <v/>
      </c>
      <c r="H105" s="11" t="str">
        <f t="shared" si="7"/>
        <v/>
      </c>
      <c r="I105" s="11" t="str">
        <f t="shared" si="7"/>
        <v/>
      </c>
      <c r="J105" s="11" t="str">
        <f t="shared" si="6"/>
        <v/>
      </c>
      <c r="K105" s="11" t="str">
        <f t="shared" si="4"/>
        <v/>
      </c>
      <c r="L105" s="12" t="s">
        <v>456</v>
      </c>
      <c r="M105" s="12" t="s">
        <v>35</v>
      </c>
      <c r="N105" s="12" t="s">
        <v>457</v>
      </c>
      <c r="O105" s="12" t="s">
        <v>168</v>
      </c>
      <c r="P105" s="12" t="s">
        <v>61</v>
      </c>
      <c r="Q105" s="12" t="s">
        <v>444</v>
      </c>
      <c r="R105" s="13">
        <v>3871.8600476189999</v>
      </c>
      <c r="S105" s="13">
        <v>7563.7</v>
      </c>
      <c r="T105" s="13">
        <v>0</v>
      </c>
      <c r="U105" s="13">
        <v>0</v>
      </c>
      <c r="V105" s="13">
        <v>0</v>
      </c>
      <c r="W105" s="13">
        <v>0</v>
      </c>
      <c r="X105" s="12">
        <v>5</v>
      </c>
      <c r="Y105" s="12" t="s">
        <v>458</v>
      </c>
      <c r="Z105" s="12" t="s">
        <v>41</v>
      </c>
      <c r="AA105" s="12" t="s">
        <v>349</v>
      </c>
      <c r="AB105" s="14" t="str">
        <f>MID(PEDIDOS[[#This Row],[Vencimento(s)]],1,10)</f>
        <v>20/02/2026</v>
      </c>
      <c r="AC105" s="14" t="str">
        <f>MID(PEDIDOS[[#This Row],[Vencimento(s)]],14,10)</f>
        <v/>
      </c>
      <c r="AD105" s="14" t="str">
        <f>MID(PEDIDOS[[#This Row],[Vencimento(s)]],27,10)</f>
        <v/>
      </c>
      <c r="AE105" s="12" t="str">
        <f>MID(PEDIDOS[[#This Row],[Vencimento(s)]],40,10)</f>
        <v/>
      </c>
      <c r="AF105" s="12" t="str">
        <f>MID(PEDIDOS[[#This Row],[Vencimento(s)]],53,10)</f>
        <v/>
      </c>
    </row>
    <row r="106" spans="1:32" x14ac:dyDescent="0.25">
      <c r="A106" s="8" t="str">
        <f>_xlfn.CONCAT("001/",PEDIDOS[[#This Row],[Nota Fiscal]])</f>
        <v>001/000023131</v>
      </c>
      <c r="B106" s="8" t="str">
        <f>_xlfn.XLOOKUP(PEDIDOS[[#This Row],[NFS]],'[1]MOVIMENTAÇÃO DE ESTOQUE'!AA:AA,'[1]MOVIMENTAÇÃO DE ESTOQUE'!A:A,"NÃO",0,1)</f>
        <v>001004057</v>
      </c>
      <c r="C106" s="9">
        <f>IFERROR(SUM(PEDIDOS[[#This Row],[PRAZO 1]:[PRAZO 6]])/COUNT(PEDIDOS[[#This Row],[PRAZO 1]:[PRAZO 6]]),"VERIFICAR")</f>
        <v>0</v>
      </c>
      <c r="D106" s="9">
        <f>PEDIDOS[[#This Row],[PM]]/7</f>
        <v>0</v>
      </c>
      <c r="E106" s="10">
        <f>IF(PEDIDOS[[#This Row],[NUM DE SEMANA]]=4,0,_xlfn.XLOOKUP(PEDIDOS[[#This Row],[NUM DE SEMANA]],'[1]SEMANAS DE PAGAMENTO'!A:A,'[1]SEMANAS DE PAGAMENTO'!B:B,"VERIFICAR",-1))</f>
        <v>2E-3</v>
      </c>
      <c r="F106" s="11">
        <f t="shared" si="5"/>
        <v>0</v>
      </c>
      <c r="G106" s="11" t="str">
        <f t="shared" si="7"/>
        <v/>
      </c>
      <c r="H106" s="11" t="str">
        <f t="shared" si="7"/>
        <v/>
      </c>
      <c r="I106" s="11" t="str">
        <f t="shared" si="7"/>
        <v/>
      </c>
      <c r="J106" s="11" t="str">
        <f t="shared" si="6"/>
        <v/>
      </c>
      <c r="K106" s="11" t="str">
        <f t="shared" si="4"/>
        <v/>
      </c>
      <c r="L106" s="12" t="s">
        <v>459</v>
      </c>
      <c r="M106" s="12" t="s">
        <v>59</v>
      </c>
      <c r="N106" s="12" t="s">
        <v>460</v>
      </c>
      <c r="O106" s="12" t="s">
        <v>174</v>
      </c>
      <c r="P106" s="12" t="s">
        <v>61</v>
      </c>
      <c r="Q106" s="12" t="s">
        <v>461</v>
      </c>
      <c r="R106" s="13">
        <v>508.06900000000002</v>
      </c>
      <c r="S106" s="13">
        <v>1751.73</v>
      </c>
      <c r="T106" s="13">
        <v>0</v>
      </c>
      <c r="U106" s="13">
        <v>0</v>
      </c>
      <c r="V106" s="13">
        <v>0</v>
      </c>
      <c r="W106" s="13">
        <v>0</v>
      </c>
      <c r="X106" s="12">
        <v>1</v>
      </c>
      <c r="Y106" s="12" t="s">
        <v>63</v>
      </c>
      <c r="Z106" s="12" t="s">
        <v>41</v>
      </c>
      <c r="AA106" s="12" t="s">
        <v>174</v>
      </c>
      <c r="AB106" s="14" t="str">
        <f>MID(PEDIDOS[[#This Row],[Vencimento(s)]],1,10)</f>
        <v>16/01/2026</v>
      </c>
      <c r="AC106" s="14" t="str">
        <f>MID(PEDIDOS[[#This Row],[Vencimento(s)]],14,10)</f>
        <v/>
      </c>
      <c r="AD106" s="14" t="str">
        <f>MID(PEDIDOS[[#This Row],[Vencimento(s)]],27,10)</f>
        <v/>
      </c>
      <c r="AE106" s="12" t="str">
        <f>MID(PEDIDOS[[#This Row],[Vencimento(s)]],40,10)</f>
        <v/>
      </c>
      <c r="AF106" s="12" t="str">
        <f>MID(PEDIDOS[[#This Row],[Vencimento(s)]],53,10)</f>
        <v/>
      </c>
    </row>
    <row r="107" spans="1:32" x14ac:dyDescent="0.25">
      <c r="A107" s="8" t="str">
        <f>_xlfn.CONCAT("001/",PEDIDOS[[#This Row],[Nota Fiscal]])</f>
        <v>001/000023276</v>
      </c>
      <c r="B107" s="8" t="str">
        <f>_xlfn.XLOOKUP(PEDIDOS[[#This Row],[NFS]],'[1]MOVIMENTAÇÃO DE ESTOQUE'!AA:AA,'[1]MOVIMENTAÇÃO DE ESTOQUE'!A:A,"NÃO",0,1)</f>
        <v>002004121</v>
      </c>
      <c r="C107" s="9">
        <f>IFERROR(SUM(PEDIDOS[[#This Row],[PRAZO 1]:[PRAZO 6]])/COUNT(PEDIDOS[[#This Row],[PRAZO 1]:[PRAZO 6]]),"VERIFICAR")</f>
        <v>150</v>
      </c>
      <c r="D107" s="9">
        <f>PEDIDOS[[#This Row],[PM]]/7</f>
        <v>21.428571428571427</v>
      </c>
      <c r="E107" s="10">
        <f>IF(PEDIDOS[[#This Row],[NUM DE SEMANA]]=4,0,_xlfn.XLOOKUP(PEDIDOS[[#This Row],[NUM DE SEMANA]],'[1]SEMANAS DE PAGAMENTO'!A:A,'[1]SEMANAS DE PAGAMENTO'!B:B,"VERIFICAR",-1))</f>
        <v>-4.5000000000000005E-3</v>
      </c>
      <c r="F107" s="11">
        <f t="shared" si="5"/>
        <v>150</v>
      </c>
      <c r="G107" s="11" t="str">
        <f t="shared" si="7"/>
        <v/>
      </c>
      <c r="H107" s="11" t="str">
        <f t="shared" si="7"/>
        <v/>
      </c>
      <c r="I107" s="11" t="str">
        <f t="shared" si="7"/>
        <v/>
      </c>
      <c r="J107" s="11" t="str">
        <f t="shared" si="6"/>
        <v/>
      </c>
      <c r="K107" s="11" t="str">
        <f t="shared" si="4"/>
        <v/>
      </c>
      <c r="L107" s="12" t="s">
        <v>462</v>
      </c>
      <c r="M107" s="12" t="s">
        <v>35</v>
      </c>
      <c r="N107" s="12" t="s">
        <v>463</v>
      </c>
      <c r="O107" s="12" t="s">
        <v>53</v>
      </c>
      <c r="P107" s="12" t="s">
        <v>38</v>
      </c>
      <c r="Q107" s="12" t="s">
        <v>175</v>
      </c>
      <c r="R107" s="13">
        <v>1264.0016666667</v>
      </c>
      <c r="S107" s="13">
        <v>3422.65</v>
      </c>
      <c r="T107" s="13">
        <v>0</v>
      </c>
      <c r="U107" s="13">
        <v>0</v>
      </c>
      <c r="V107" s="13">
        <v>0</v>
      </c>
      <c r="W107" s="13">
        <v>0</v>
      </c>
      <c r="X107" s="12">
        <v>1</v>
      </c>
      <c r="Y107" s="12" t="s">
        <v>464</v>
      </c>
      <c r="Z107" s="12" t="s">
        <v>177</v>
      </c>
      <c r="AA107" s="12" t="s">
        <v>465</v>
      </c>
      <c r="AB107" s="14" t="str">
        <f>MID(PEDIDOS[[#This Row],[Vencimento(s)]],1,10)</f>
        <v>26/06/2026</v>
      </c>
      <c r="AC107" s="14" t="str">
        <f>MID(PEDIDOS[[#This Row],[Vencimento(s)]],14,10)</f>
        <v/>
      </c>
      <c r="AD107" s="14" t="str">
        <f>MID(PEDIDOS[[#This Row],[Vencimento(s)]],27,10)</f>
        <v/>
      </c>
      <c r="AE107" s="12" t="str">
        <f>MID(PEDIDOS[[#This Row],[Vencimento(s)]],40,10)</f>
        <v/>
      </c>
      <c r="AF107" s="12" t="str">
        <f>MID(PEDIDOS[[#This Row],[Vencimento(s)]],53,10)</f>
        <v/>
      </c>
    </row>
    <row r="108" spans="1:32" x14ac:dyDescent="0.25">
      <c r="A108" s="8" t="str">
        <f>_xlfn.CONCAT("001/",PEDIDOS[[#This Row],[Nota Fiscal]])</f>
        <v>001/000023277</v>
      </c>
      <c r="B108" s="8" t="str">
        <f>_xlfn.XLOOKUP(PEDIDOS[[#This Row],[NFS]],'[1]MOVIMENTAÇÃO DE ESTOQUE'!AA:AA,'[1]MOVIMENTAÇÃO DE ESTOQUE'!A:A,"NÃO",0,1)</f>
        <v>072004003</v>
      </c>
      <c r="C108" s="9">
        <f>IFERROR(SUM(PEDIDOS[[#This Row],[PRAZO 1]:[PRAZO 6]])/COUNT(PEDIDOS[[#This Row],[PRAZO 1]:[PRAZO 6]]),"VERIFICAR")</f>
        <v>150</v>
      </c>
      <c r="D108" s="9">
        <f>PEDIDOS[[#This Row],[PM]]/7</f>
        <v>21.428571428571427</v>
      </c>
      <c r="E108" s="10">
        <f>IF(PEDIDOS[[#This Row],[NUM DE SEMANA]]=4,0,_xlfn.XLOOKUP(PEDIDOS[[#This Row],[NUM DE SEMANA]],'[1]SEMANAS DE PAGAMENTO'!A:A,'[1]SEMANAS DE PAGAMENTO'!B:B,"VERIFICAR",-1))</f>
        <v>-4.5000000000000005E-3</v>
      </c>
      <c r="F108" s="11">
        <f t="shared" si="5"/>
        <v>150</v>
      </c>
      <c r="G108" s="11" t="str">
        <f t="shared" si="7"/>
        <v/>
      </c>
      <c r="H108" s="11" t="str">
        <f t="shared" si="7"/>
        <v/>
      </c>
      <c r="I108" s="11" t="str">
        <f t="shared" si="7"/>
        <v/>
      </c>
      <c r="J108" s="11" t="str">
        <f t="shared" si="6"/>
        <v/>
      </c>
      <c r="K108" s="11" t="str">
        <f t="shared" si="4"/>
        <v/>
      </c>
      <c r="L108" s="12" t="s">
        <v>466</v>
      </c>
      <c r="M108" s="12" t="s">
        <v>35</v>
      </c>
      <c r="N108" s="12" t="s">
        <v>467</v>
      </c>
      <c r="O108" s="12" t="s">
        <v>53</v>
      </c>
      <c r="P108" s="12" t="s">
        <v>38</v>
      </c>
      <c r="Q108" s="12" t="s">
        <v>175</v>
      </c>
      <c r="R108" s="13">
        <v>601.79600000000005</v>
      </c>
      <c r="S108" s="13">
        <v>2318.75</v>
      </c>
      <c r="T108" s="13">
        <v>0</v>
      </c>
      <c r="U108" s="13">
        <v>0</v>
      </c>
      <c r="V108" s="13">
        <v>0</v>
      </c>
      <c r="W108" s="13">
        <v>0</v>
      </c>
      <c r="X108" s="12">
        <v>25</v>
      </c>
      <c r="Y108" s="12" t="s">
        <v>468</v>
      </c>
      <c r="Z108" s="12" t="s">
        <v>177</v>
      </c>
      <c r="AA108" s="12" t="s">
        <v>465</v>
      </c>
      <c r="AB108" s="14" t="str">
        <f>MID(PEDIDOS[[#This Row],[Vencimento(s)]],1,10)</f>
        <v>26/06/2026</v>
      </c>
      <c r="AC108" s="14" t="str">
        <f>MID(PEDIDOS[[#This Row],[Vencimento(s)]],14,10)</f>
        <v/>
      </c>
      <c r="AD108" s="14" t="str">
        <f>MID(PEDIDOS[[#This Row],[Vencimento(s)]],27,10)</f>
        <v/>
      </c>
      <c r="AE108" s="12" t="str">
        <f>MID(PEDIDOS[[#This Row],[Vencimento(s)]],40,10)</f>
        <v/>
      </c>
      <c r="AF108" s="12" t="str">
        <f>MID(PEDIDOS[[#This Row],[Vencimento(s)]],53,10)</f>
        <v/>
      </c>
    </row>
    <row r="109" spans="1:32" x14ac:dyDescent="0.25">
      <c r="A109" s="8" t="str">
        <f>_xlfn.CONCAT("001/",PEDIDOS[[#This Row],[Nota Fiscal]])</f>
        <v>001/000023275</v>
      </c>
      <c r="B109" s="8" t="str">
        <f>_xlfn.XLOOKUP(PEDIDOS[[#This Row],[NFS]],'[1]MOVIMENTAÇÃO DE ESTOQUE'!AA:AA,'[1]MOVIMENTAÇÃO DE ESTOQUE'!A:A,"NÃO",0,1)</f>
        <v>001004120</v>
      </c>
      <c r="C109" s="9">
        <f>IFERROR(SUM(PEDIDOS[[#This Row],[PRAZO 1]:[PRAZO 6]])/COUNT(PEDIDOS[[#This Row],[PRAZO 1]:[PRAZO 6]]),"VERIFICAR")</f>
        <v>150</v>
      </c>
      <c r="D109" s="9">
        <f>PEDIDOS[[#This Row],[PM]]/7</f>
        <v>21.428571428571427</v>
      </c>
      <c r="E109" s="10">
        <f>IF(PEDIDOS[[#This Row],[NUM DE SEMANA]]=4,0,_xlfn.XLOOKUP(PEDIDOS[[#This Row],[NUM DE SEMANA]],'[1]SEMANAS DE PAGAMENTO'!A:A,'[1]SEMANAS DE PAGAMENTO'!B:B,"VERIFICAR",-1))</f>
        <v>-4.5000000000000005E-3</v>
      </c>
      <c r="F109" s="11">
        <f t="shared" si="5"/>
        <v>150</v>
      </c>
      <c r="G109" s="11" t="str">
        <f t="shared" si="7"/>
        <v/>
      </c>
      <c r="H109" s="11" t="str">
        <f t="shared" si="7"/>
        <v/>
      </c>
      <c r="I109" s="11" t="str">
        <f t="shared" si="7"/>
        <v/>
      </c>
      <c r="J109" s="11" t="str">
        <f t="shared" si="6"/>
        <v/>
      </c>
      <c r="K109" s="11" t="str">
        <f t="shared" si="4"/>
        <v/>
      </c>
      <c r="L109" s="12" t="s">
        <v>469</v>
      </c>
      <c r="M109" s="12" t="s">
        <v>35</v>
      </c>
      <c r="N109" s="12" t="s">
        <v>470</v>
      </c>
      <c r="O109" s="12" t="s">
        <v>53</v>
      </c>
      <c r="P109" s="12" t="s">
        <v>38</v>
      </c>
      <c r="Q109" s="12" t="s">
        <v>175</v>
      </c>
      <c r="R109" s="13">
        <v>29757.006025997802</v>
      </c>
      <c r="S109" s="13">
        <v>85019.22</v>
      </c>
      <c r="T109" s="13">
        <v>0</v>
      </c>
      <c r="U109" s="13">
        <v>0</v>
      </c>
      <c r="V109" s="13">
        <v>0</v>
      </c>
      <c r="W109" s="13">
        <v>0</v>
      </c>
      <c r="X109" s="12">
        <v>22</v>
      </c>
      <c r="Y109" s="12" t="s">
        <v>471</v>
      </c>
      <c r="Z109" s="12" t="s">
        <v>177</v>
      </c>
      <c r="AA109" s="12" t="s">
        <v>465</v>
      </c>
      <c r="AB109" s="14" t="str">
        <f>MID(PEDIDOS[[#This Row],[Vencimento(s)]],1,10)</f>
        <v>26/06/2026</v>
      </c>
      <c r="AC109" s="14" t="str">
        <f>MID(PEDIDOS[[#This Row],[Vencimento(s)]],14,10)</f>
        <v/>
      </c>
      <c r="AD109" s="14" t="str">
        <f>MID(PEDIDOS[[#This Row],[Vencimento(s)]],27,10)</f>
        <v/>
      </c>
      <c r="AE109" s="12" t="str">
        <f>MID(PEDIDOS[[#This Row],[Vencimento(s)]],40,10)</f>
        <v/>
      </c>
      <c r="AF109" s="12" t="str">
        <f>MID(PEDIDOS[[#This Row],[Vencimento(s)]],53,10)</f>
        <v/>
      </c>
    </row>
    <row r="110" spans="1:32" x14ac:dyDescent="0.25">
      <c r="A110" s="8" t="str">
        <f>_xlfn.CONCAT("001/",PEDIDOS[[#This Row],[Nota Fiscal]])</f>
        <v>001/000023126</v>
      </c>
      <c r="B110" s="8" t="str">
        <f>_xlfn.XLOOKUP(PEDIDOS[[#This Row],[NFS]],'[1]MOVIMENTAÇÃO DE ESTOQUE'!AA:AA,'[1]MOVIMENTAÇÃO DE ESTOQUE'!A:A,"NÃO",0,1)</f>
        <v>090004004</v>
      </c>
      <c r="C110" s="9">
        <f>IFERROR(SUM(PEDIDOS[[#This Row],[PRAZO 1]:[PRAZO 6]])/COUNT(PEDIDOS[[#This Row],[PRAZO 1]:[PRAZO 6]]),"VERIFICAR")</f>
        <v>150</v>
      </c>
      <c r="D110" s="9">
        <f>PEDIDOS[[#This Row],[PM]]/7</f>
        <v>21.428571428571427</v>
      </c>
      <c r="E110" s="10">
        <f>IF(PEDIDOS[[#This Row],[NUM DE SEMANA]]=4,0,_xlfn.XLOOKUP(PEDIDOS[[#This Row],[NUM DE SEMANA]],'[1]SEMANAS DE PAGAMENTO'!A:A,'[1]SEMANAS DE PAGAMENTO'!B:B,"VERIFICAR",-1))</f>
        <v>-4.5000000000000005E-3</v>
      </c>
      <c r="F110" s="11">
        <f t="shared" si="5"/>
        <v>150</v>
      </c>
      <c r="G110" s="11" t="str">
        <f t="shared" si="7"/>
        <v/>
      </c>
      <c r="H110" s="11" t="str">
        <f t="shared" si="7"/>
        <v/>
      </c>
      <c r="I110" s="11" t="str">
        <f t="shared" si="7"/>
        <v/>
      </c>
      <c r="J110" s="11" t="str">
        <f t="shared" si="6"/>
        <v/>
      </c>
      <c r="K110" s="11" t="str">
        <f t="shared" si="4"/>
        <v/>
      </c>
      <c r="L110" s="12" t="s">
        <v>472</v>
      </c>
      <c r="M110" s="12" t="s">
        <v>35</v>
      </c>
      <c r="N110" s="12" t="s">
        <v>473</v>
      </c>
      <c r="O110" s="12" t="s">
        <v>174</v>
      </c>
      <c r="P110" s="12" t="s">
        <v>38</v>
      </c>
      <c r="Q110" s="12" t="s">
        <v>175</v>
      </c>
      <c r="R110" s="13">
        <v>118101.293703866</v>
      </c>
      <c r="S110" s="13">
        <v>318239.90000000002</v>
      </c>
      <c r="T110" s="13">
        <v>0</v>
      </c>
      <c r="U110" s="13">
        <v>0</v>
      </c>
      <c r="V110" s="13">
        <v>0</v>
      </c>
      <c r="W110" s="13">
        <v>0</v>
      </c>
      <c r="X110" s="12">
        <v>55</v>
      </c>
      <c r="Y110" s="12" t="s">
        <v>474</v>
      </c>
      <c r="Z110" s="12" t="s">
        <v>177</v>
      </c>
      <c r="AA110" s="12" t="s">
        <v>178</v>
      </c>
      <c r="AB110" s="14" t="str">
        <f>MID(PEDIDOS[[#This Row],[Vencimento(s)]],1,10)</f>
        <v>15/06/2026</v>
      </c>
      <c r="AC110" s="14" t="str">
        <f>MID(PEDIDOS[[#This Row],[Vencimento(s)]],14,10)</f>
        <v/>
      </c>
      <c r="AD110" s="14" t="str">
        <f>MID(PEDIDOS[[#This Row],[Vencimento(s)]],27,10)</f>
        <v/>
      </c>
      <c r="AE110" s="12" t="str">
        <f>MID(PEDIDOS[[#This Row],[Vencimento(s)]],40,10)</f>
        <v/>
      </c>
      <c r="AF110" s="12" t="str">
        <f>MID(PEDIDOS[[#This Row],[Vencimento(s)]],53,10)</f>
        <v/>
      </c>
    </row>
    <row r="111" spans="1:32" x14ac:dyDescent="0.25">
      <c r="A111" s="8" t="str">
        <f>_xlfn.CONCAT("001/",PEDIDOS[[#This Row],[Nota Fiscal]])</f>
        <v>001/000023040</v>
      </c>
      <c r="B111" s="8" t="str">
        <f>_xlfn.XLOOKUP(PEDIDOS[[#This Row],[NFS]],'[1]MOVIMENTAÇÃO DE ESTOQUE'!AA:AA,'[1]MOVIMENTAÇÃO DE ESTOQUE'!A:A,"NÃO",0,1)</f>
        <v>002004012</v>
      </c>
      <c r="C111" s="9">
        <f>IFERROR(SUM(PEDIDOS[[#This Row],[PRAZO 1]:[PRAZO 6]])/COUNT(PEDIDOS[[#This Row],[PRAZO 1]:[PRAZO 6]]),"VERIFICAR")</f>
        <v>150</v>
      </c>
      <c r="D111" s="9">
        <f>PEDIDOS[[#This Row],[PM]]/7</f>
        <v>21.428571428571427</v>
      </c>
      <c r="E111" s="10">
        <f>IF(PEDIDOS[[#This Row],[NUM DE SEMANA]]=4,0,_xlfn.XLOOKUP(PEDIDOS[[#This Row],[NUM DE SEMANA]],'[1]SEMANAS DE PAGAMENTO'!A:A,'[1]SEMANAS DE PAGAMENTO'!B:B,"VERIFICAR",-1))</f>
        <v>-4.5000000000000005E-3</v>
      </c>
      <c r="F111" s="11">
        <f t="shared" si="5"/>
        <v>150</v>
      </c>
      <c r="G111" s="11" t="str">
        <f t="shared" si="7"/>
        <v/>
      </c>
      <c r="H111" s="11" t="str">
        <f t="shared" si="7"/>
        <v/>
      </c>
      <c r="I111" s="11" t="str">
        <f t="shared" si="7"/>
        <v/>
      </c>
      <c r="J111" s="11" t="str">
        <f t="shared" si="6"/>
        <v/>
      </c>
      <c r="K111" s="11" t="str">
        <f t="shared" si="4"/>
        <v/>
      </c>
      <c r="L111" s="12" t="s">
        <v>475</v>
      </c>
      <c r="M111" s="12" t="s">
        <v>35</v>
      </c>
      <c r="N111" s="12" t="s">
        <v>476</v>
      </c>
      <c r="O111" s="12" t="s">
        <v>265</v>
      </c>
      <c r="P111" s="12" t="s">
        <v>38</v>
      </c>
      <c r="Q111" s="12" t="s">
        <v>175</v>
      </c>
      <c r="R111" s="13">
        <v>14664.098126246399</v>
      </c>
      <c r="S111" s="13">
        <v>42153.24</v>
      </c>
      <c r="T111" s="13">
        <v>0</v>
      </c>
      <c r="U111" s="13">
        <v>0</v>
      </c>
      <c r="V111" s="13">
        <v>0</v>
      </c>
      <c r="W111" s="13">
        <v>0</v>
      </c>
      <c r="X111" s="12">
        <v>2</v>
      </c>
      <c r="Y111" s="12" t="s">
        <v>477</v>
      </c>
      <c r="Z111" s="12" t="s">
        <v>177</v>
      </c>
      <c r="AA111" s="12" t="s">
        <v>478</v>
      </c>
      <c r="AB111" s="14" t="str">
        <f>MID(PEDIDOS[[#This Row],[Vencimento(s)]],1,10)</f>
        <v>07/06/2026</v>
      </c>
      <c r="AC111" s="14" t="str">
        <f>MID(PEDIDOS[[#This Row],[Vencimento(s)]],14,10)</f>
        <v/>
      </c>
      <c r="AD111" s="14" t="str">
        <f>MID(PEDIDOS[[#This Row],[Vencimento(s)]],27,10)</f>
        <v/>
      </c>
      <c r="AE111" s="12" t="str">
        <f>MID(PEDIDOS[[#This Row],[Vencimento(s)]],40,10)</f>
        <v/>
      </c>
      <c r="AF111" s="12" t="str">
        <f>MID(PEDIDOS[[#This Row],[Vencimento(s)]],53,10)</f>
        <v/>
      </c>
    </row>
    <row r="112" spans="1:32" x14ac:dyDescent="0.25">
      <c r="A112" s="8" t="str">
        <f>_xlfn.CONCAT("001/",PEDIDOS[[#This Row],[Nota Fiscal]])</f>
        <v>001/000023125</v>
      </c>
      <c r="B112" s="8" t="str">
        <f>_xlfn.XLOOKUP(PEDIDOS[[#This Row],[NFS]],'[1]MOVIMENTAÇÃO DE ESTOQUE'!AA:AA,'[1]MOVIMENTAÇÃO DE ESTOQUE'!A:A,"NÃO",0,1)</f>
        <v>001004120</v>
      </c>
      <c r="C112" s="9">
        <f>IFERROR(SUM(PEDIDOS[[#This Row],[PRAZO 1]:[PRAZO 6]])/COUNT(PEDIDOS[[#This Row],[PRAZO 1]:[PRAZO 6]]),"VERIFICAR")</f>
        <v>150</v>
      </c>
      <c r="D112" s="9">
        <f>PEDIDOS[[#This Row],[PM]]/7</f>
        <v>21.428571428571427</v>
      </c>
      <c r="E112" s="10">
        <f>IF(PEDIDOS[[#This Row],[NUM DE SEMANA]]=4,0,_xlfn.XLOOKUP(PEDIDOS[[#This Row],[NUM DE SEMANA]],'[1]SEMANAS DE PAGAMENTO'!A:A,'[1]SEMANAS DE PAGAMENTO'!B:B,"VERIFICAR",-1))</f>
        <v>-4.5000000000000005E-3</v>
      </c>
      <c r="F112" s="11">
        <f t="shared" si="5"/>
        <v>150</v>
      </c>
      <c r="G112" s="11" t="str">
        <f t="shared" si="7"/>
        <v/>
      </c>
      <c r="H112" s="11" t="str">
        <f t="shared" si="7"/>
        <v/>
      </c>
      <c r="I112" s="11" t="str">
        <f t="shared" si="7"/>
        <v/>
      </c>
      <c r="J112" s="11" t="str">
        <f t="shared" si="6"/>
        <v/>
      </c>
      <c r="K112" s="11" t="str">
        <f t="shared" si="4"/>
        <v/>
      </c>
      <c r="L112" s="12" t="s">
        <v>479</v>
      </c>
      <c r="M112" s="12" t="s">
        <v>35</v>
      </c>
      <c r="N112" s="12" t="s">
        <v>480</v>
      </c>
      <c r="O112" s="12" t="s">
        <v>174</v>
      </c>
      <c r="P112" s="12" t="s">
        <v>38</v>
      </c>
      <c r="Q112" s="12" t="s">
        <v>175</v>
      </c>
      <c r="R112" s="13">
        <v>1352.5911829999</v>
      </c>
      <c r="S112" s="13">
        <v>3944.06</v>
      </c>
      <c r="T112" s="13">
        <v>0</v>
      </c>
      <c r="U112" s="13">
        <v>0</v>
      </c>
      <c r="V112" s="13">
        <v>0</v>
      </c>
      <c r="W112" s="13">
        <v>0</v>
      </c>
      <c r="X112" s="12">
        <v>1</v>
      </c>
      <c r="Y112" s="12" t="s">
        <v>481</v>
      </c>
      <c r="Z112" s="12" t="s">
        <v>177</v>
      </c>
      <c r="AA112" s="12" t="s">
        <v>178</v>
      </c>
      <c r="AB112" s="14" t="str">
        <f>MID(PEDIDOS[[#This Row],[Vencimento(s)]],1,10)</f>
        <v>15/06/2026</v>
      </c>
      <c r="AC112" s="14" t="str">
        <f>MID(PEDIDOS[[#This Row],[Vencimento(s)]],14,10)</f>
        <v/>
      </c>
      <c r="AD112" s="14" t="str">
        <f>MID(PEDIDOS[[#This Row],[Vencimento(s)]],27,10)</f>
        <v/>
      </c>
      <c r="AE112" s="12" t="str">
        <f>MID(PEDIDOS[[#This Row],[Vencimento(s)]],40,10)</f>
        <v/>
      </c>
      <c r="AF112" s="12" t="str">
        <f>MID(PEDIDOS[[#This Row],[Vencimento(s)]],53,10)</f>
        <v/>
      </c>
    </row>
    <row r="113" spans="1:32" x14ac:dyDescent="0.25">
      <c r="A113" s="8" t="str">
        <f>_xlfn.CONCAT("001/",PEDIDOS[[#This Row],[Nota Fiscal]])</f>
        <v>001/000023306</v>
      </c>
      <c r="B113" s="8" t="str">
        <f>_xlfn.XLOOKUP(PEDIDOS[[#This Row],[NFS]],'[1]MOVIMENTAÇÃO DE ESTOQUE'!AA:AA,'[1]MOVIMENTAÇÃO DE ESTOQUE'!A:A,"NÃO",0,1)</f>
        <v>008008001</v>
      </c>
      <c r="C113" s="9">
        <f>IFERROR(SUM(PEDIDOS[[#This Row],[PRAZO 1]:[PRAZO 6]])/COUNT(PEDIDOS[[#This Row],[PRAZO 1]:[PRAZO 6]]),"VERIFICAR")</f>
        <v>94</v>
      </c>
      <c r="D113" s="9">
        <f>PEDIDOS[[#This Row],[PM]]/7</f>
        <v>13.428571428571429</v>
      </c>
      <c r="E113" s="10">
        <f>IF(PEDIDOS[[#This Row],[NUM DE SEMANA]]=4,0,_xlfn.XLOOKUP(PEDIDOS[[#This Row],[NUM DE SEMANA]],'[1]SEMANAS DE PAGAMENTO'!A:A,'[1]SEMANAS DE PAGAMENTO'!B:B,"VERIFICAR",-1))</f>
        <v>-4.5000000000000005E-3</v>
      </c>
      <c r="F113" s="11">
        <f t="shared" si="5"/>
        <v>94</v>
      </c>
      <c r="G113" s="11" t="str">
        <f t="shared" si="7"/>
        <v/>
      </c>
      <c r="H113" s="11" t="str">
        <f t="shared" si="7"/>
        <v/>
      </c>
      <c r="I113" s="11" t="str">
        <f t="shared" si="7"/>
        <v/>
      </c>
      <c r="J113" s="11" t="str">
        <f t="shared" si="6"/>
        <v/>
      </c>
      <c r="K113" s="11" t="str">
        <f t="shared" si="4"/>
        <v/>
      </c>
      <c r="L113" s="12" t="s">
        <v>482</v>
      </c>
      <c r="M113" s="12" t="s">
        <v>35</v>
      </c>
      <c r="N113" s="12" t="s">
        <v>483</v>
      </c>
      <c r="O113" s="12" t="s">
        <v>37</v>
      </c>
      <c r="P113" s="12" t="s">
        <v>45</v>
      </c>
      <c r="Q113" s="12" t="s">
        <v>484</v>
      </c>
      <c r="R113" s="13">
        <v>67340.782566180002</v>
      </c>
      <c r="S113" s="13">
        <v>204732</v>
      </c>
      <c r="T113" s="13">
        <v>0</v>
      </c>
      <c r="U113" s="13">
        <v>0</v>
      </c>
      <c r="V113" s="13">
        <v>0</v>
      </c>
      <c r="W113" s="13">
        <v>0</v>
      </c>
      <c r="X113" s="12">
        <v>300</v>
      </c>
      <c r="Y113" s="12" t="s">
        <v>485</v>
      </c>
      <c r="Z113" s="12" t="s">
        <v>41</v>
      </c>
      <c r="AA113" s="12" t="s">
        <v>486</v>
      </c>
      <c r="AB113" s="14" t="str">
        <f>MID(PEDIDOS[[#This Row],[Vencimento(s)]],1,10)</f>
        <v>04/05/2026</v>
      </c>
      <c r="AC113" s="14" t="str">
        <f>MID(PEDIDOS[[#This Row],[Vencimento(s)]],14,10)</f>
        <v/>
      </c>
      <c r="AD113" s="14" t="str">
        <f>MID(PEDIDOS[[#This Row],[Vencimento(s)]],27,10)</f>
        <v/>
      </c>
      <c r="AE113" s="12" t="str">
        <f>MID(PEDIDOS[[#This Row],[Vencimento(s)]],40,10)</f>
        <v/>
      </c>
      <c r="AF113" s="12" t="str">
        <f>MID(PEDIDOS[[#This Row],[Vencimento(s)]],53,10)</f>
        <v/>
      </c>
    </row>
    <row r="114" spans="1:32" x14ac:dyDescent="0.25">
      <c r="A114" s="8" t="str">
        <f>_xlfn.CONCAT("001/",PEDIDOS[[#This Row],[Nota Fiscal]])</f>
        <v>001/000023061</v>
      </c>
      <c r="B114" s="8" t="str">
        <f>_xlfn.XLOOKUP(PEDIDOS[[#This Row],[NFS]],'[1]MOVIMENTAÇÃO DE ESTOQUE'!AA:AA,'[1]MOVIMENTAÇÃO DE ESTOQUE'!A:A,"NÃO",0,1)</f>
        <v>090004001</v>
      </c>
      <c r="C114" s="9">
        <f>IFERROR(SUM(PEDIDOS[[#This Row],[PRAZO 1]:[PRAZO 6]])/COUNT(PEDIDOS[[#This Row],[PRAZO 1]:[PRAZO 6]]),"VERIFICAR")</f>
        <v>90</v>
      </c>
      <c r="D114" s="9">
        <f>PEDIDOS[[#This Row],[PM]]/7</f>
        <v>12.857142857142858</v>
      </c>
      <c r="E114" s="10">
        <f>IF(PEDIDOS[[#This Row],[NUM DE SEMANA]]=4,0,_xlfn.XLOOKUP(PEDIDOS[[#This Row],[NUM DE SEMANA]],'[1]SEMANAS DE PAGAMENTO'!A:A,'[1]SEMANAS DE PAGAMENTO'!B:B,"VERIFICAR",-1))</f>
        <v>-4.0000000000000001E-3</v>
      </c>
      <c r="F114" s="11">
        <f t="shared" si="5"/>
        <v>90</v>
      </c>
      <c r="G114" s="11" t="str">
        <f t="shared" si="7"/>
        <v/>
      </c>
      <c r="H114" s="11" t="str">
        <f t="shared" si="7"/>
        <v/>
      </c>
      <c r="I114" s="11" t="str">
        <f t="shared" si="7"/>
        <v/>
      </c>
      <c r="J114" s="11" t="str">
        <f t="shared" si="6"/>
        <v/>
      </c>
      <c r="K114" s="11" t="str">
        <f t="shared" si="4"/>
        <v/>
      </c>
      <c r="L114" s="12" t="s">
        <v>487</v>
      </c>
      <c r="M114" s="12" t="s">
        <v>35</v>
      </c>
      <c r="N114" s="12" t="s">
        <v>488</v>
      </c>
      <c r="O114" s="12" t="s">
        <v>238</v>
      </c>
      <c r="P114" s="12" t="s">
        <v>38</v>
      </c>
      <c r="Q114" s="12" t="s">
        <v>489</v>
      </c>
      <c r="R114" s="13">
        <v>10993.6577572275</v>
      </c>
      <c r="S114" s="13">
        <v>19590.3</v>
      </c>
      <c r="T114" s="13">
        <v>0</v>
      </c>
      <c r="U114" s="13">
        <v>0</v>
      </c>
      <c r="V114" s="13">
        <v>0</v>
      </c>
      <c r="W114" s="13">
        <v>0</v>
      </c>
      <c r="X114" s="12">
        <v>5</v>
      </c>
      <c r="Y114" s="12" t="s">
        <v>63</v>
      </c>
      <c r="Z114" s="12" t="s">
        <v>41</v>
      </c>
      <c r="AA114" s="12" t="s">
        <v>490</v>
      </c>
      <c r="AB114" s="14" t="str">
        <f>MID(PEDIDOS[[#This Row],[Vencimento(s)]],1,10)</f>
        <v>09/04/2026</v>
      </c>
      <c r="AC114" s="14" t="str">
        <f>MID(PEDIDOS[[#This Row],[Vencimento(s)]],14,10)</f>
        <v/>
      </c>
      <c r="AD114" s="14" t="str">
        <f>MID(PEDIDOS[[#This Row],[Vencimento(s)]],27,10)</f>
        <v/>
      </c>
      <c r="AE114" s="12" t="str">
        <f>MID(PEDIDOS[[#This Row],[Vencimento(s)]],40,10)</f>
        <v/>
      </c>
      <c r="AF114" s="12" t="str">
        <f>MID(PEDIDOS[[#This Row],[Vencimento(s)]],53,10)</f>
        <v/>
      </c>
    </row>
    <row r="115" spans="1:32" x14ac:dyDescent="0.25">
      <c r="A115" s="8" t="str">
        <f>_xlfn.CONCAT("001/",PEDIDOS[[#This Row],[Nota Fiscal]])</f>
        <v>001/000023240</v>
      </c>
      <c r="B115" s="8" t="str">
        <f>_xlfn.XLOOKUP(PEDIDOS[[#This Row],[NFS]],'[1]MOVIMENTAÇÃO DE ESTOQUE'!AA:AA,'[1]MOVIMENTAÇÃO DE ESTOQUE'!A:A,"NÃO",0,1)</f>
        <v>004003001</v>
      </c>
      <c r="C115" s="9">
        <f>IFERROR(SUM(PEDIDOS[[#This Row],[PRAZO 1]:[PRAZO 6]])/COUNT(PEDIDOS[[#This Row],[PRAZO 1]:[PRAZO 6]]),"VERIFICAR")</f>
        <v>35</v>
      </c>
      <c r="D115" s="9">
        <f>PEDIDOS[[#This Row],[PM]]/7</f>
        <v>5</v>
      </c>
      <c r="E115" s="10">
        <f>IF(PEDIDOS[[#This Row],[NUM DE SEMANA]]=4,0,_xlfn.XLOOKUP(PEDIDOS[[#This Row],[NUM DE SEMANA]],'[1]SEMANAS DE PAGAMENTO'!A:A,'[1]SEMANAS DE PAGAMENTO'!B:B,"VERIFICAR",-1))</f>
        <v>-5.0000000000000001E-4</v>
      </c>
      <c r="F115" s="11">
        <f t="shared" si="5"/>
        <v>28</v>
      </c>
      <c r="G115" s="11">
        <f t="shared" si="7"/>
        <v>35</v>
      </c>
      <c r="H115" s="11">
        <f t="shared" si="7"/>
        <v>42</v>
      </c>
      <c r="I115" s="11" t="str">
        <f t="shared" si="7"/>
        <v/>
      </c>
      <c r="J115" s="11" t="str">
        <f t="shared" si="6"/>
        <v/>
      </c>
      <c r="K115" s="11" t="str">
        <f t="shared" si="4"/>
        <v/>
      </c>
      <c r="L115" s="12" t="s">
        <v>491</v>
      </c>
      <c r="M115" s="12" t="s">
        <v>35</v>
      </c>
      <c r="N115" s="12" t="s">
        <v>492</v>
      </c>
      <c r="O115" s="12" t="s">
        <v>73</v>
      </c>
      <c r="P115" s="12" t="s">
        <v>111</v>
      </c>
      <c r="Q115" s="12" t="s">
        <v>493</v>
      </c>
      <c r="R115" s="13">
        <v>6098.3606666659998</v>
      </c>
      <c r="S115" s="13">
        <v>14420.4</v>
      </c>
      <c r="T115" s="13">
        <v>0</v>
      </c>
      <c r="U115" s="13">
        <v>0</v>
      </c>
      <c r="V115" s="13">
        <v>0</v>
      </c>
      <c r="W115" s="13">
        <v>0</v>
      </c>
      <c r="X115" s="12">
        <v>20</v>
      </c>
      <c r="Y115" s="12" t="s">
        <v>494</v>
      </c>
      <c r="Z115" s="12" t="s">
        <v>48</v>
      </c>
      <c r="AA115" s="12" t="s">
        <v>136</v>
      </c>
      <c r="AB115" s="14" t="str">
        <f>MID(PEDIDOS[[#This Row],[Vencimento(s)]],1,10)</f>
        <v>20/02/2026</v>
      </c>
      <c r="AC115" s="14" t="str">
        <f>MID(PEDIDOS[[#This Row],[Vencimento(s)]],14,10)</f>
        <v>27/02/2026</v>
      </c>
      <c r="AD115" s="14" t="str">
        <f>MID(PEDIDOS[[#This Row],[Vencimento(s)]],27,10)</f>
        <v>06/03/2026</v>
      </c>
      <c r="AE115" s="12" t="str">
        <f>MID(PEDIDOS[[#This Row],[Vencimento(s)]],40,10)</f>
        <v/>
      </c>
      <c r="AF115" s="12" t="str">
        <f>MID(PEDIDOS[[#This Row],[Vencimento(s)]],53,10)</f>
        <v/>
      </c>
    </row>
    <row r="116" spans="1:32" x14ac:dyDescent="0.25">
      <c r="A116" s="8" t="str">
        <f>_xlfn.CONCAT("001/",PEDIDOS[[#This Row],[Nota Fiscal]])</f>
        <v>001/000023150</v>
      </c>
      <c r="B116" s="8" t="str">
        <f>_xlfn.XLOOKUP(PEDIDOS[[#This Row],[NFS]],'[1]MOVIMENTAÇÃO DE ESTOQUE'!AA:AA,'[1]MOVIMENTAÇÃO DE ESTOQUE'!A:A,"NÃO",0,1)</f>
        <v>061004001</v>
      </c>
      <c r="C116" s="9">
        <f>IFERROR(SUM(PEDIDOS[[#This Row],[PRAZO 1]:[PRAZO 6]])/COUNT(PEDIDOS[[#This Row],[PRAZO 1]:[PRAZO 6]]),"VERIFICAR")</f>
        <v>42</v>
      </c>
      <c r="D116" s="9">
        <f>PEDIDOS[[#This Row],[PM]]/7</f>
        <v>6</v>
      </c>
      <c r="E116" s="10">
        <f>IF(PEDIDOS[[#This Row],[NUM DE SEMANA]]=4,0,_xlfn.XLOOKUP(PEDIDOS[[#This Row],[NUM DE SEMANA]],'[1]SEMANAS DE PAGAMENTO'!A:A,'[1]SEMANAS DE PAGAMENTO'!B:B,"VERIFICAR",-1))</f>
        <v>-1E-3</v>
      </c>
      <c r="F116" s="11">
        <f t="shared" si="5"/>
        <v>42</v>
      </c>
      <c r="G116" s="11" t="str">
        <f t="shared" si="7"/>
        <v/>
      </c>
      <c r="H116" s="11" t="str">
        <f t="shared" si="7"/>
        <v/>
      </c>
      <c r="I116" s="11" t="str">
        <f t="shared" si="7"/>
        <v/>
      </c>
      <c r="J116" s="11" t="str">
        <f t="shared" si="6"/>
        <v/>
      </c>
      <c r="K116" s="11" t="str">
        <f t="shared" si="4"/>
        <v/>
      </c>
      <c r="L116" s="12" t="s">
        <v>495</v>
      </c>
      <c r="M116" s="12" t="s">
        <v>35</v>
      </c>
      <c r="N116" s="12" t="s">
        <v>496</v>
      </c>
      <c r="O116" s="12" t="s">
        <v>149</v>
      </c>
      <c r="P116" s="12" t="s">
        <v>38</v>
      </c>
      <c r="Q116" s="12" t="s">
        <v>205</v>
      </c>
      <c r="R116" s="13">
        <v>34537.293554504999</v>
      </c>
      <c r="S116" s="13">
        <v>62510.5</v>
      </c>
      <c r="T116" s="13">
        <v>0</v>
      </c>
      <c r="U116" s="13">
        <v>0</v>
      </c>
      <c r="V116" s="13">
        <v>0</v>
      </c>
      <c r="W116" s="13">
        <v>0</v>
      </c>
      <c r="X116" s="12">
        <v>25</v>
      </c>
      <c r="Y116" s="12" t="s">
        <v>497</v>
      </c>
      <c r="Z116" s="12" t="s">
        <v>48</v>
      </c>
      <c r="AA116" s="12" t="s">
        <v>235</v>
      </c>
      <c r="AB116" s="14" t="str">
        <f>MID(PEDIDOS[[#This Row],[Vencimento(s)]],1,10)</f>
        <v>02/03/2026</v>
      </c>
      <c r="AC116" s="14" t="str">
        <f>MID(PEDIDOS[[#This Row],[Vencimento(s)]],14,10)</f>
        <v/>
      </c>
      <c r="AD116" s="14" t="str">
        <f>MID(PEDIDOS[[#This Row],[Vencimento(s)]],27,10)</f>
        <v/>
      </c>
      <c r="AE116" s="12" t="str">
        <f>MID(PEDIDOS[[#This Row],[Vencimento(s)]],40,10)</f>
        <v/>
      </c>
      <c r="AF116" s="12" t="str">
        <f>MID(PEDIDOS[[#This Row],[Vencimento(s)]],53,10)</f>
        <v/>
      </c>
    </row>
    <row r="117" spans="1:32" x14ac:dyDescent="0.25">
      <c r="A117" s="8" t="str">
        <f>_xlfn.CONCAT("001/",PEDIDOS[[#This Row],[Nota Fiscal]])</f>
        <v>001/000023135</v>
      </c>
      <c r="B117" s="8" t="str">
        <f>_xlfn.XLOOKUP(PEDIDOS[[#This Row],[NFS]],'[1]MOVIMENTAÇÃO DE ESTOQUE'!AA:AA,'[1]MOVIMENTAÇÃO DE ESTOQUE'!A:A,"NÃO",0,1)</f>
        <v>008008001</v>
      </c>
      <c r="C117" s="9">
        <f>IFERROR(SUM(PEDIDOS[[#This Row],[PRAZO 1]:[PRAZO 6]])/COUNT(PEDIDOS[[#This Row],[PRAZO 1]:[PRAZO 6]]),"VERIFICAR")</f>
        <v>150</v>
      </c>
      <c r="D117" s="9">
        <f>PEDIDOS[[#This Row],[PM]]/7</f>
        <v>21.428571428571427</v>
      </c>
      <c r="E117" s="10">
        <f>IF(PEDIDOS[[#This Row],[NUM DE SEMANA]]=4,0,_xlfn.XLOOKUP(PEDIDOS[[#This Row],[NUM DE SEMANA]],'[1]SEMANAS DE PAGAMENTO'!A:A,'[1]SEMANAS DE PAGAMENTO'!B:B,"VERIFICAR",-1))</f>
        <v>-4.5000000000000005E-3</v>
      </c>
      <c r="F117" s="11">
        <f t="shared" si="5"/>
        <v>150</v>
      </c>
      <c r="G117" s="11" t="str">
        <f t="shared" si="7"/>
        <v/>
      </c>
      <c r="H117" s="11" t="str">
        <f t="shared" si="7"/>
        <v/>
      </c>
      <c r="I117" s="11" t="str">
        <f t="shared" si="7"/>
        <v/>
      </c>
      <c r="J117" s="11" t="str">
        <f t="shared" si="6"/>
        <v/>
      </c>
      <c r="K117" s="11" t="str">
        <f t="shared" si="4"/>
        <v/>
      </c>
      <c r="L117" s="12" t="s">
        <v>498</v>
      </c>
      <c r="M117" s="12" t="s">
        <v>35</v>
      </c>
      <c r="N117" s="12" t="s">
        <v>499</v>
      </c>
      <c r="O117" s="12" t="s">
        <v>174</v>
      </c>
      <c r="P117" s="12" t="s">
        <v>38</v>
      </c>
      <c r="Q117" s="12" t="s">
        <v>175</v>
      </c>
      <c r="R117" s="13">
        <v>525.98698892200002</v>
      </c>
      <c r="S117" s="13">
        <v>2478.1999999999998</v>
      </c>
      <c r="T117" s="13">
        <v>0</v>
      </c>
      <c r="U117" s="13">
        <v>0</v>
      </c>
      <c r="V117" s="13">
        <v>0</v>
      </c>
      <c r="W117" s="13">
        <v>0</v>
      </c>
      <c r="X117" s="12">
        <v>2</v>
      </c>
      <c r="Y117" s="12" t="s">
        <v>500</v>
      </c>
      <c r="Z117" s="12" t="s">
        <v>177</v>
      </c>
      <c r="AA117" s="12" t="s">
        <v>178</v>
      </c>
      <c r="AB117" s="14" t="str">
        <f>MID(PEDIDOS[[#This Row],[Vencimento(s)]],1,10)</f>
        <v>15/06/2026</v>
      </c>
      <c r="AC117" s="14" t="str">
        <f>MID(PEDIDOS[[#This Row],[Vencimento(s)]],14,10)</f>
        <v/>
      </c>
      <c r="AD117" s="14" t="str">
        <f>MID(PEDIDOS[[#This Row],[Vencimento(s)]],27,10)</f>
        <v/>
      </c>
      <c r="AE117" s="12" t="str">
        <f>MID(PEDIDOS[[#This Row],[Vencimento(s)]],40,10)</f>
        <v/>
      </c>
      <c r="AF117" s="12" t="str">
        <f>MID(PEDIDOS[[#This Row],[Vencimento(s)]],53,10)</f>
        <v/>
      </c>
    </row>
    <row r="118" spans="1:32" x14ac:dyDescent="0.25">
      <c r="A118" s="8" t="str">
        <f>_xlfn.CONCAT("001/",PEDIDOS[[#This Row],[Nota Fiscal]])</f>
        <v>001/000023020</v>
      </c>
      <c r="B118" s="8" t="str">
        <f>_xlfn.XLOOKUP(PEDIDOS[[#This Row],[NFS]],'[1]MOVIMENTAÇÃO DE ESTOQUE'!AA:AA,'[1]MOVIMENTAÇÃO DE ESTOQUE'!A:A,"NÃO",0,1)</f>
        <v>072004003</v>
      </c>
      <c r="C118" s="9">
        <f>IFERROR(SUM(PEDIDOS[[#This Row],[PRAZO 1]:[PRAZO 6]])/COUNT(PEDIDOS[[#This Row],[PRAZO 1]:[PRAZO 6]]),"VERIFICAR")</f>
        <v>150</v>
      </c>
      <c r="D118" s="9">
        <f>PEDIDOS[[#This Row],[PM]]/7</f>
        <v>21.428571428571427</v>
      </c>
      <c r="E118" s="10">
        <f>IF(PEDIDOS[[#This Row],[NUM DE SEMANA]]=4,0,_xlfn.XLOOKUP(PEDIDOS[[#This Row],[NUM DE SEMANA]],'[1]SEMANAS DE PAGAMENTO'!A:A,'[1]SEMANAS DE PAGAMENTO'!B:B,"VERIFICAR",-1))</f>
        <v>-4.5000000000000005E-3</v>
      </c>
      <c r="F118" s="11">
        <f t="shared" si="5"/>
        <v>150</v>
      </c>
      <c r="G118" s="11" t="str">
        <f t="shared" si="7"/>
        <v/>
      </c>
      <c r="H118" s="11" t="str">
        <f t="shared" si="7"/>
        <v/>
      </c>
      <c r="I118" s="11" t="str">
        <f t="shared" si="7"/>
        <v/>
      </c>
      <c r="J118" s="11" t="str">
        <f t="shared" si="6"/>
        <v/>
      </c>
      <c r="K118" s="11" t="str">
        <f t="shared" si="4"/>
        <v/>
      </c>
      <c r="L118" s="12" t="s">
        <v>501</v>
      </c>
      <c r="M118" s="12" t="s">
        <v>35</v>
      </c>
      <c r="N118" s="12" t="s">
        <v>502</v>
      </c>
      <c r="O118" s="12" t="s">
        <v>258</v>
      </c>
      <c r="P118" s="12" t="s">
        <v>38</v>
      </c>
      <c r="Q118" s="12" t="s">
        <v>175</v>
      </c>
      <c r="R118" s="13">
        <v>1681.4799938824999</v>
      </c>
      <c r="S118" s="13">
        <v>7092.75</v>
      </c>
      <c r="T118" s="13">
        <v>0</v>
      </c>
      <c r="U118" s="13">
        <v>0</v>
      </c>
      <c r="V118" s="13">
        <v>0</v>
      </c>
      <c r="W118" s="13">
        <v>0</v>
      </c>
      <c r="X118" s="12">
        <v>75</v>
      </c>
      <c r="Y118" s="12" t="s">
        <v>503</v>
      </c>
      <c r="Z118" s="12" t="s">
        <v>177</v>
      </c>
      <c r="AA118" s="12" t="s">
        <v>504</v>
      </c>
      <c r="AB118" s="14" t="str">
        <f>MID(PEDIDOS[[#This Row],[Vencimento(s)]],1,10)</f>
        <v>06/06/2026</v>
      </c>
      <c r="AC118" s="14" t="str">
        <f>MID(PEDIDOS[[#This Row],[Vencimento(s)]],14,10)</f>
        <v/>
      </c>
      <c r="AD118" s="14" t="str">
        <f>MID(PEDIDOS[[#This Row],[Vencimento(s)]],27,10)</f>
        <v/>
      </c>
      <c r="AE118" s="12" t="str">
        <f>MID(PEDIDOS[[#This Row],[Vencimento(s)]],40,10)</f>
        <v/>
      </c>
      <c r="AF118" s="12" t="str">
        <f>MID(PEDIDOS[[#This Row],[Vencimento(s)]],53,10)</f>
        <v/>
      </c>
    </row>
    <row r="119" spans="1:32" x14ac:dyDescent="0.25">
      <c r="A119" s="8" t="str">
        <f>_xlfn.CONCAT("001/",PEDIDOS[[#This Row],[Nota Fiscal]])</f>
        <v>001/000023032</v>
      </c>
      <c r="B119" s="8" t="str">
        <f>_xlfn.XLOOKUP(PEDIDOS[[#This Row],[NFS]],'[1]MOVIMENTAÇÃO DE ESTOQUE'!AA:AA,'[1]MOVIMENTAÇÃO DE ESTOQUE'!A:A,"NÃO",0,1)</f>
        <v>002004119</v>
      </c>
      <c r="C119" s="9">
        <f>IFERROR(SUM(PEDIDOS[[#This Row],[PRAZO 1]:[PRAZO 6]])/COUNT(PEDIDOS[[#This Row],[PRAZO 1]:[PRAZO 6]]),"VERIFICAR")</f>
        <v>28</v>
      </c>
      <c r="D119" s="9">
        <f>PEDIDOS[[#This Row],[PM]]/7</f>
        <v>4</v>
      </c>
      <c r="E119" s="10">
        <f>IF(PEDIDOS[[#This Row],[NUM DE SEMANA]]=4,0,_xlfn.XLOOKUP(PEDIDOS[[#This Row],[NUM DE SEMANA]],'[1]SEMANAS DE PAGAMENTO'!A:A,'[1]SEMANAS DE PAGAMENTO'!B:B,"VERIFICAR",-1))</f>
        <v>0</v>
      </c>
      <c r="F119" s="11">
        <f t="shared" si="5"/>
        <v>21</v>
      </c>
      <c r="G119" s="11">
        <f t="shared" si="7"/>
        <v>28</v>
      </c>
      <c r="H119" s="11">
        <f t="shared" si="7"/>
        <v>35</v>
      </c>
      <c r="I119" s="11" t="str">
        <f t="shared" si="7"/>
        <v/>
      </c>
      <c r="J119" s="11" t="str">
        <f t="shared" si="6"/>
        <v/>
      </c>
      <c r="K119" s="11" t="str">
        <f t="shared" si="4"/>
        <v/>
      </c>
      <c r="L119" s="12" t="s">
        <v>505</v>
      </c>
      <c r="M119" s="12" t="s">
        <v>35</v>
      </c>
      <c r="N119" s="12" t="s">
        <v>506</v>
      </c>
      <c r="O119" s="12" t="s">
        <v>265</v>
      </c>
      <c r="P119" s="12" t="s">
        <v>54</v>
      </c>
      <c r="Q119" s="12" t="s">
        <v>507</v>
      </c>
      <c r="R119" s="13">
        <v>55479.897992550999</v>
      </c>
      <c r="S119" s="13">
        <v>142482.65</v>
      </c>
      <c r="T119" s="13">
        <v>0</v>
      </c>
      <c r="U119" s="13">
        <v>0</v>
      </c>
      <c r="V119" s="13">
        <v>0</v>
      </c>
      <c r="W119" s="13">
        <v>0</v>
      </c>
      <c r="X119" s="12">
        <v>60</v>
      </c>
      <c r="Y119" s="12" t="s">
        <v>508</v>
      </c>
      <c r="Z119" s="12" t="s">
        <v>48</v>
      </c>
      <c r="AA119" s="12" t="s">
        <v>509</v>
      </c>
      <c r="AB119" s="14" t="str">
        <f>MID(PEDIDOS[[#This Row],[Vencimento(s)]],1,10)</f>
        <v>29/01/2026</v>
      </c>
      <c r="AC119" s="14" t="str">
        <f>MID(PEDIDOS[[#This Row],[Vencimento(s)]],14,10)</f>
        <v>05/02/2026</v>
      </c>
      <c r="AD119" s="14" t="str">
        <f>MID(PEDIDOS[[#This Row],[Vencimento(s)]],27,10)</f>
        <v>12/02/2026</v>
      </c>
      <c r="AE119" s="12" t="str">
        <f>MID(PEDIDOS[[#This Row],[Vencimento(s)]],40,10)</f>
        <v/>
      </c>
      <c r="AF119" s="12" t="str">
        <f>MID(PEDIDOS[[#This Row],[Vencimento(s)]],53,10)</f>
        <v/>
      </c>
    </row>
    <row r="120" spans="1:32" x14ac:dyDescent="0.25">
      <c r="A120" s="8" t="str">
        <f>_xlfn.CONCAT("001/",PEDIDOS[[#This Row],[Nota Fiscal]])</f>
        <v>001/000023269</v>
      </c>
      <c r="B120" s="8" t="str">
        <f>_xlfn.XLOOKUP(PEDIDOS[[#This Row],[NFS]],'[1]MOVIMENTAÇÃO DE ESTOQUE'!AA:AA,'[1]MOVIMENTAÇÃO DE ESTOQUE'!A:A,"NÃO",0,1)</f>
        <v>008014043</v>
      </c>
      <c r="C120" s="9">
        <f>IFERROR(SUM(PEDIDOS[[#This Row],[PRAZO 1]:[PRAZO 6]])/COUNT(PEDIDOS[[#This Row],[PRAZO 1]:[PRAZO 6]]),"VERIFICAR")</f>
        <v>0</v>
      </c>
      <c r="D120" s="9">
        <f>PEDIDOS[[#This Row],[PM]]/7</f>
        <v>0</v>
      </c>
      <c r="E120" s="10">
        <f>IF(PEDIDOS[[#This Row],[NUM DE SEMANA]]=4,0,_xlfn.XLOOKUP(PEDIDOS[[#This Row],[NUM DE SEMANA]],'[1]SEMANAS DE PAGAMENTO'!A:A,'[1]SEMANAS DE PAGAMENTO'!B:B,"VERIFICAR",-1))</f>
        <v>2E-3</v>
      </c>
      <c r="F120" s="11">
        <f t="shared" si="5"/>
        <v>0</v>
      </c>
      <c r="G120" s="11" t="str">
        <f t="shared" si="7"/>
        <v/>
      </c>
      <c r="H120" s="11" t="str">
        <f t="shared" si="7"/>
        <v/>
      </c>
      <c r="I120" s="11" t="str">
        <f t="shared" si="7"/>
        <v/>
      </c>
      <c r="J120" s="11" t="str">
        <f t="shared" si="6"/>
        <v/>
      </c>
      <c r="K120" s="11" t="str">
        <f t="shared" si="4"/>
        <v/>
      </c>
      <c r="L120" s="12" t="s">
        <v>510</v>
      </c>
      <c r="M120" s="12" t="s">
        <v>35</v>
      </c>
      <c r="N120" s="12" t="s">
        <v>511</v>
      </c>
      <c r="O120" s="12" t="s">
        <v>53</v>
      </c>
      <c r="P120" s="12" t="s">
        <v>74</v>
      </c>
      <c r="Q120" s="12" t="s">
        <v>186</v>
      </c>
      <c r="R120" s="13">
        <v>12290.721118064001</v>
      </c>
      <c r="S120" s="13">
        <v>26599</v>
      </c>
      <c r="T120" s="13">
        <v>0</v>
      </c>
      <c r="U120" s="13">
        <v>0</v>
      </c>
      <c r="V120" s="13">
        <v>0</v>
      </c>
      <c r="W120" s="13">
        <v>0</v>
      </c>
      <c r="X120" s="12">
        <v>20</v>
      </c>
      <c r="Y120" s="12" t="s">
        <v>512</v>
      </c>
      <c r="Z120" s="12" t="s">
        <v>41</v>
      </c>
      <c r="AA120" s="12" t="s">
        <v>53</v>
      </c>
      <c r="AB120" s="14" t="str">
        <f>MID(PEDIDOS[[#This Row],[Vencimento(s)]],1,10)</f>
        <v>27/01/2026</v>
      </c>
      <c r="AC120" s="14" t="str">
        <f>MID(PEDIDOS[[#This Row],[Vencimento(s)]],14,10)</f>
        <v/>
      </c>
      <c r="AD120" s="14" t="str">
        <f>MID(PEDIDOS[[#This Row],[Vencimento(s)]],27,10)</f>
        <v/>
      </c>
      <c r="AE120" s="12" t="str">
        <f>MID(PEDIDOS[[#This Row],[Vencimento(s)]],40,10)</f>
        <v/>
      </c>
      <c r="AF120" s="12" t="str">
        <f>MID(PEDIDOS[[#This Row],[Vencimento(s)]],53,10)</f>
        <v/>
      </c>
    </row>
    <row r="121" spans="1:32" x14ac:dyDescent="0.25">
      <c r="A121" s="8" t="str">
        <f>_xlfn.CONCAT("001/",PEDIDOS[[#This Row],[Nota Fiscal]])</f>
        <v>001/000023242</v>
      </c>
      <c r="B121" s="8" t="str">
        <f>_xlfn.XLOOKUP(PEDIDOS[[#This Row],[NFS]],'[1]MOVIMENTAÇÃO DE ESTOQUE'!AA:AA,'[1]MOVIMENTAÇÃO DE ESTOQUE'!A:A,"NÃO",0,1)</f>
        <v>001004114</v>
      </c>
      <c r="C121" s="9">
        <f>IFERROR(SUM(PEDIDOS[[#This Row],[PRAZO 1]:[PRAZO 6]])/COUNT(PEDIDOS[[#This Row],[PRAZO 1]:[PRAZO 6]]),"VERIFICAR")</f>
        <v>14</v>
      </c>
      <c r="D121" s="9">
        <f>PEDIDOS[[#This Row],[PM]]/7</f>
        <v>2</v>
      </c>
      <c r="E121" s="10">
        <f>IF(PEDIDOS[[#This Row],[NUM DE SEMANA]]=4,0,_xlfn.XLOOKUP(PEDIDOS[[#This Row],[NUM DE SEMANA]],'[1]SEMANAS DE PAGAMENTO'!A:A,'[1]SEMANAS DE PAGAMENTO'!B:B,"VERIFICAR",-1))</f>
        <v>1.5E-3</v>
      </c>
      <c r="F121" s="11">
        <f t="shared" si="5"/>
        <v>0</v>
      </c>
      <c r="G121" s="11">
        <f t="shared" si="7"/>
        <v>28</v>
      </c>
      <c r="H121" s="11" t="str">
        <f t="shared" si="7"/>
        <v/>
      </c>
      <c r="I121" s="11" t="str">
        <f t="shared" si="7"/>
        <v/>
      </c>
      <c r="J121" s="11" t="str">
        <f t="shared" si="6"/>
        <v/>
      </c>
      <c r="K121" s="11" t="str">
        <f t="shared" si="4"/>
        <v/>
      </c>
      <c r="L121" s="12" t="s">
        <v>513</v>
      </c>
      <c r="M121" s="12" t="s">
        <v>51</v>
      </c>
      <c r="N121" s="12" t="s">
        <v>514</v>
      </c>
      <c r="O121" s="12" t="s">
        <v>73</v>
      </c>
      <c r="P121" s="12" t="s">
        <v>111</v>
      </c>
      <c r="Q121" s="12" t="s">
        <v>515</v>
      </c>
      <c r="R121" s="13">
        <v>5553.9809244978997</v>
      </c>
      <c r="S121" s="13">
        <v>13098.04</v>
      </c>
      <c r="T121" s="13">
        <v>0</v>
      </c>
      <c r="U121" s="13">
        <v>0</v>
      </c>
      <c r="V121" s="13">
        <v>0</v>
      </c>
      <c r="W121" s="13">
        <v>0</v>
      </c>
      <c r="X121" s="12">
        <v>2.4</v>
      </c>
      <c r="Y121" s="12" t="s">
        <v>56</v>
      </c>
      <c r="Z121" s="12" t="s">
        <v>48</v>
      </c>
      <c r="AA121" s="12" t="s">
        <v>516</v>
      </c>
      <c r="AB121" s="14" t="str">
        <f>MID(PEDIDOS[[#This Row],[Vencimento(s)]],1,10)</f>
        <v>23/01/2026</v>
      </c>
      <c r="AC121" s="14" t="str">
        <f>MID(PEDIDOS[[#This Row],[Vencimento(s)]],14,10)</f>
        <v>20/02/2026</v>
      </c>
      <c r="AD121" s="14" t="str">
        <f>MID(PEDIDOS[[#This Row],[Vencimento(s)]],27,10)</f>
        <v/>
      </c>
      <c r="AE121" s="12" t="str">
        <f>MID(PEDIDOS[[#This Row],[Vencimento(s)]],40,10)</f>
        <v/>
      </c>
      <c r="AF121" s="12" t="str">
        <f>MID(PEDIDOS[[#This Row],[Vencimento(s)]],53,10)</f>
        <v/>
      </c>
    </row>
    <row r="122" spans="1:32" x14ac:dyDescent="0.25">
      <c r="A122" s="8" t="str">
        <f>_xlfn.CONCAT("001/",PEDIDOS[[#This Row],[Nota Fiscal]])</f>
        <v>001/000023084</v>
      </c>
      <c r="B122" s="8" t="str">
        <f>_xlfn.XLOOKUP(PEDIDOS[[#This Row],[NFS]],'[1]MOVIMENTAÇÃO DE ESTOQUE'!AA:AA,'[1]MOVIMENTAÇÃO DE ESTOQUE'!A:A,"NÃO",0,1)</f>
        <v>004003009</v>
      </c>
      <c r="C122" s="9">
        <f>IFERROR(SUM(PEDIDOS[[#This Row],[PRAZO 1]:[PRAZO 6]])/COUNT(PEDIDOS[[#This Row],[PRAZO 1]:[PRAZO 6]]),"VERIFICAR")</f>
        <v>28</v>
      </c>
      <c r="D122" s="9">
        <f>PEDIDOS[[#This Row],[PM]]/7</f>
        <v>4</v>
      </c>
      <c r="E122" s="10">
        <f>IF(PEDIDOS[[#This Row],[NUM DE SEMANA]]=4,0,_xlfn.XLOOKUP(PEDIDOS[[#This Row],[NUM DE SEMANA]],'[1]SEMANAS DE PAGAMENTO'!A:A,'[1]SEMANAS DE PAGAMENTO'!B:B,"VERIFICAR",-1))</f>
        <v>0</v>
      </c>
      <c r="F122" s="11">
        <f t="shared" si="5"/>
        <v>28</v>
      </c>
      <c r="G122" s="11" t="str">
        <f t="shared" si="7"/>
        <v/>
      </c>
      <c r="H122" s="11" t="str">
        <f t="shared" si="7"/>
        <v/>
      </c>
      <c r="I122" s="11" t="str">
        <f t="shared" si="7"/>
        <v/>
      </c>
      <c r="J122" s="11" t="str">
        <f t="shared" si="6"/>
        <v/>
      </c>
      <c r="K122" s="11" t="str">
        <f t="shared" si="4"/>
        <v/>
      </c>
      <c r="L122" s="12" t="s">
        <v>517</v>
      </c>
      <c r="M122" s="12" t="s">
        <v>35</v>
      </c>
      <c r="N122" s="12" t="s">
        <v>518</v>
      </c>
      <c r="O122" s="12" t="s">
        <v>453</v>
      </c>
      <c r="P122" s="12" t="s">
        <v>111</v>
      </c>
      <c r="Q122" s="12" t="s">
        <v>519</v>
      </c>
      <c r="R122" s="13">
        <v>14131.808449599999</v>
      </c>
      <c r="S122" s="13">
        <v>34375</v>
      </c>
      <c r="T122" s="13">
        <v>0</v>
      </c>
      <c r="U122" s="13">
        <v>0</v>
      </c>
      <c r="V122" s="13">
        <v>0</v>
      </c>
      <c r="W122" s="13">
        <v>0</v>
      </c>
      <c r="X122" s="12">
        <v>500</v>
      </c>
      <c r="Y122" s="12" t="s">
        <v>520</v>
      </c>
      <c r="Z122" s="12" t="s">
        <v>48</v>
      </c>
      <c r="AA122" s="12" t="s">
        <v>98</v>
      </c>
      <c r="AB122" s="14" t="str">
        <f>MID(PEDIDOS[[#This Row],[Vencimento(s)]],1,10)</f>
        <v>10/02/2026</v>
      </c>
      <c r="AC122" s="14" t="str">
        <f>MID(PEDIDOS[[#This Row],[Vencimento(s)]],14,10)</f>
        <v/>
      </c>
      <c r="AD122" s="14" t="str">
        <f>MID(PEDIDOS[[#This Row],[Vencimento(s)]],27,10)</f>
        <v/>
      </c>
      <c r="AE122" s="12" t="str">
        <f>MID(PEDIDOS[[#This Row],[Vencimento(s)]],40,10)</f>
        <v/>
      </c>
      <c r="AF122" s="12" t="str">
        <f>MID(PEDIDOS[[#This Row],[Vencimento(s)]],53,10)</f>
        <v/>
      </c>
    </row>
    <row r="123" spans="1:32" x14ac:dyDescent="0.25">
      <c r="A123" s="8" t="str">
        <f>_xlfn.CONCAT("001/",PEDIDOS[[#This Row],[Nota Fiscal]])</f>
        <v>001/000023023</v>
      </c>
      <c r="B123" s="8" t="str">
        <f>_xlfn.XLOOKUP(PEDIDOS[[#This Row],[NFS]],'[1]MOVIMENTAÇÃO DE ESTOQUE'!AA:AA,'[1]MOVIMENTAÇÃO DE ESTOQUE'!A:A,"NÃO",0,1)</f>
        <v>001004010</v>
      </c>
      <c r="C123" s="9">
        <f>IFERROR(SUM(PEDIDOS[[#This Row],[PRAZO 1]:[PRAZO 6]])/COUNT(PEDIDOS[[#This Row],[PRAZO 1]:[PRAZO 6]]),"VERIFICAR")</f>
        <v>38.5</v>
      </c>
      <c r="D123" s="9">
        <f>PEDIDOS[[#This Row],[PM]]/7</f>
        <v>5.5</v>
      </c>
      <c r="E123" s="10">
        <f>IF(PEDIDOS[[#This Row],[NUM DE SEMANA]]=4,0,_xlfn.XLOOKUP(PEDIDOS[[#This Row],[NUM DE SEMANA]],'[1]SEMANAS DE PAGAMENTO'!A:A,'[1]SEMANAS DE PAGAMENTO'!B:B,"VERIFICAR",-1))</f>
        <v>-5.0000000000000001E-4</v>
      </c>
      <c r="F123" s="11">
        <f t="shared" si="5"/>
        <v>28</v>
      </c>
      <c r="G123" s="11">
        <f t="shared" si="7"/>
        <v>35</v>
      </c>
      <c r="H123" s="11">
        <f t="shared" si="7"/>
        <v>42</v>
      </c>
      <c r="I123" s="11">
        <f t="shared" si="7"/>
        <v>49</v>
      </c>
      <c r="J123" s="11" t="str">
        <f t="shared" si="6"/>
        <v/>
      </c>
      <c r="K123" s="11" t="str">
        <f t="shared" si="4"/>
        <v/>
      </c>
      <c r="L123" s="12" t="s">
        <v>521</v>
      </c>
      <c r="M123" s="12" t="s">
        <v>35</v>
      </c>
      <c r="N123" s="12" t="s">
        <v>522</v>
      </c>
      <c r="O123" s="12" t="s">
        <v>258</v>
      </c>
      <c r="P123" s="12" t="s">
        <v>38</v>
      </c>
      <c r="Q123" s="12" t="s">
        <v>39</v>
      </c>
      <c r="R123" s="13">
        <v>11862.9948567915</v>
      </c>
      <c r="S123" s="13">
        <v>30722.400000000001</v>
      </c>
      <c r="T123" s="13">
        <v>0</v>
      </c>
      <c r="U123" s="13">
        <v>0</v>
      </c>
      <c r="V123" s="13">
        <v>0</v>
      </c>
      <c r="W123" s="13">
        <v>0</v>
      </c>
      <c r="X123" s="12">
        <v>15</v>
      </c>
      <c r="Y123" s="12" t="s">
        <v>523</v>
      </c>
      <c r="Z123" s="12" t="s">
        <v>41</v>
      </c>
      <c r="AA123" s="12" t="s">
        <v>262</v>
      </c>
      <c r="AB123" s="14" t="str">
        <f>MID(PEDIDOS[[#This Row],[Vencimento(s)]],1,10)</f>
        <v>04/02/2026</v>
      </c>
      <c r="AC123" s="14" t="str">
        <f>MID(PEDIDOS[[#This Row],[Vencimento(s)]],14,10)</f>
        <v>11/02/2026</v>
      </c>
      <c r="AD123" s="14" t="str">
        <f>MID(PEDIDOS[[#This Row],[Vencimento(s)]],27,10)</f>
        <v>18/02/2026</v>
      </c>
      <c r="AE123" s="12" t="str">
        <f>MID(PEDIDOS[[#This Row],[Vencimento(s)]],40,10)</f>
        <v>25/02/2026</v>
      </c>
      <c r="AF123" s="12" t="str">
        <f>MID(PEDIDOS[[#This Row],[Vencimento(s)]],53,10)</f>
        <v/>
      </c>
    </row>
    <row r="124" spans="1:32" x14ac:dyDescent="0.25">
      <c r="A124" s="8" t="str">
        <f>_xlfn.CONCAT("001/",PEDIDOS[[#This Row],[Nota Fiscal]])</f>
        <v>001/000022991</v>
      </c>
      <c r="B124" s="8" t="str">
        <f>_xlfn.XLOOKUP(PEDIDOS[[#This Row],[NFS]],'[1]MOVIMENTAÇÃO DE ESTOQUE'!AA:AA,'[1]MOVIMENTAÇÃO DE ESTOQUE'!A:A,"NÃO",0,1)</f>
        <v>001004079</v>
      </c>
      <c r="C124" s="9">
        <f>IFERROR(SUM(PEDIDOS[[#This Row],[PRAZO 1]:[PRAZO 6]])/COUNT(PEDIDOS[[#This Row],[PRAZO 1]:[PRAZO 6]]),"VERIFICAR")</f>
        <v>24</v>
      </c>
      <c r="D124" s="9">
        <f>PEDIDOS[[#This Row],[PM]]/7</f>
        <v>3.4285714285714284</v>
      </c>
      <c r="E124" s="10">
        <f>IF(PEDIDOS[[#This Row],[NUM DE SEMANA]]=4,0,_xlfn.XLOOKUP(PEDIDOS[[#This Row],[NUM DE SEMANA]],'[1]SEMANAS DE PAGAMENTO'!A:A,'[1]SEMANAS DE PAGAMENTO'!B:B,"VERIFICAR",-1))</f>
        <v>1E-3</v>
      </c>
      <c r="F124" s="11">
        <f t="shared" si="5"/>
        <v>21</v>
      </c>
      <c r="G124" s="11">
        <f t="shared" si="7"/>
        <v>27</v>
      </c>
      <c r="H124" s="11" t="str">
        <f t="shared" si="7"/>
        <v/>
      </c>
      <c r="I124" s="11" t="str">
        <f t="shared" si="7"/>
        <v/>
      </c>
      <c r="J124" s="11" t="str">
        <f t="shared" si="6"/>
        <v/>
      </c>
      <c r="K124" s="11" t="str">
        <f t="shared" si="4"/>
        <v/>
      </c>
      <c r="L124" s="12" t="s">
        <v>524</v>
      </c>
      <c r="M124" s="12" t="s">
        <v>35</v>
      </c>
      <c r="N124" s="12" t="s">
        <v>525</v>
      </c>
      <c r="O124" s="12" t="s">
        <v>275</v>
      </c>
      <c r="P124" s="12" t="s">
        <v>54</v>
      </c>
      <c r="Q124" s="12" t="s">
        <v>96</v>
      </c>
      <c r="R124" s="13">
        <v>309.56927233829998</v>
      </c>
      <c r="S124" s="13">
        <v>1460.62</v>
      </c>
      <c r="T124" s="13">
        <v>0</v>
      </c>
      <c r="U124" s="13">
        <v>0</v>
      </c>
      <c r="V124" s="13">
        <v>0</v>
      </c>
      <c r="W124" s="13">
        <v>0</v>
      </c>
      <c r="X124" s="12">
        <v>1</v>
      </c>
      <c r="Y124" s="12" t="s">
        <v>526</v>
      </c>
      <c r="Z124" s="12" t="s">
        <v>48</v>
      </c>
      <c r="AA124" s="12" t="s">
        <v>527</v>
      </c>
      <c r="AB124" s="14" t="str">
        <f>MID(PEDIDOS[[#This Row],[Vencimento(s)]],1,10)</f>
        <v>27/01/2026</v>
      </c>
      <c r="AC124" s="14" t="str">
        <f>MID(PEDIDOS[[#This Row],[Vencimento(s)]],14,10)</f>
        <v>02/02/2026</v>
      </c>
      <c r="AD124" s="14" t="str">
        <f>MID(PEDIDOS[[#This Row],[Vencimento(s)]],27,10)</f>
        <v/>
      </c>
      <c r="AE124" s="12" t="str">
        <f>MID(PEDIDOS[[#This Row],[Vencimento(s)]],40,10)</f>
        <v/>
      </c>
      <c r="AF124" s="12" t="str">
        <f>MID(PEDIDOS[[#This Row],[Vencimento(s)]],53,10)</f>
        <v/>
      </c>
    </row>
    <row r="125" spans="1:32" x14ac:dyDescent="0.25">
      <c r="A125" s="8" t="str">
        <f>_xlfn.CONCAT("001/",PEDIDOS[[#This Row],[Nota Fiscal]])</f>
        <v>001/000023127</v>
      </c>
      <c r="B125" s="8" t="str">
        <f>_xlfn.XLOOKUP(PEDIDOS[[#This Row],[NFS]],'[1]MOVIMENTAÇÃO DE ESTOQUE'!AA:AA,'[1]MOVIMENTAÇÃO DE ESTOQUE'!A:A,"NÃO",0,1)</f>
        <v>026005089</v>
      </c>
      <c r="C125" s="9">
        <f>IFERROR(SUM(PEDIDOS[[#This Row],[PRAZO 1]:[PRAZO 6]])/COUNT(PEDIDOS[[#This Row],[PRAZO 1]:[PRAZO 6]]),"VERIFICAR")</f>
        <v>150</v>
      </c>
      <c r="D125" s="9">
        <f>PEDIDOS[[#This Row],[PM]]/7</f>
        <v>21.428571428571427</v>
      </c>
      <c r="E125" s="10">
        <f>IF(PEDIDOS[[#This Row],[NUM DE SEMANA]]=4,0,_xlfn.XLOOKUP(PEDIDOS[[#This Row],[NUM DE SEMANA]],'[1]SEMANAS DE PAGAMENTO'!A:A,'[1]SEMANAS DE PAGAMENTO'!B:B,"VERIFICAR",-1))</f>
        <v>-4.5000000000000005E-3</v>
      </c>
      <c r="F125" s="11">
        <f t="shared" si="5"/>
        <v>150</v>
      </c>
      <c r="G125" s="11" t="str">
        <f t="shared" si="7"/>
        <v/>
      </c>
      <c r="H125" s="11" t="str">
        <f t="shared" si="7"/>
        <v/>
      </c>
      <c r="I125" s="11" t="str">
        <f t="shared" si="7"/>
        <v/>
      </c>
      <c r="J125" s="11" t="str">
        <f t="shared" si="6"/>
        <v/>
      </c>
      <c r="K125" s="11" t="str">
        <f t="shared" si="4"/>
        <v/>
      </c>
      <c r="L125" s="12" t="s">
        <v>528</v>
      </c>
      <c r="M125" s="12" t="s">
        <v>35</v>
      </c>
      <c r="N125" s="12" t="s">
        <v>529</v>
      </c>
      <c r="O125" s="12" t="s">
        <v>174</v>
      </c>
      <c r="P125" s="12" t="s">
        <v>38</v>
      </c>
      <c r="Q125" s="12" t="s">
        <v>175</v>
      </c>
      <c r="R125" s="13">
        <v>3413.74</v>
      </c>
      <c r="S125" s="13">
        <v>8432.25</v>
      </c>
      <c r="T125" s="13">
        <v>0</v>
      </c>
      <c r="U125" s="13">
        <v>0</v>
      </c>
      <c r="V125" s="13">
        <v>0</v>
      </c>
      <c r="W125" s="13">
        <v>0</v>
      </c>
      <c r="X125" s="12">
        <v>25</v>
      </c>
      <c r="Y125" s="12" t="s">
        <v>530</v>
      </c>
      <c r="Z125" s="12" t="s">
        <v>177</v>
      </c>
      <c r="AA125" s="12" t="s">
        <v>178</v>
      </c>
      <c r="AB125" s="14" t="str">
        <f>MID(PEDIDOS[[#This Row],[Vencimento(s)]],1,10)</f>
        <v>15/06/2026</v>
      </c>
      <c r="AC125" s="14" t="str">
        <f>MID(PEDIDOS[[#This Row],[Vencimento(s)]],14,10)</f>
        <v/>
      </c>
      <c r="AD125" s="14" t="str">
        <f>MID(PEDIDOS[[#This Row],[Vencimento(s)]],27,10)</f>
        <v/>
      </c>
      <c r="AE125" s="12" t="str">
        <f>MID(PEDIDOS[[#This Row],[Vencimento(s)]],40,10)</f>
        <v/>
      </c>
      <c r="AF125" s="12" t="str">
        <f>MID(PEDIDOS[[#This Row],[Vencimento(s)]],53,10)</f>
        <v/>
      </c>
    </row>
    <row r="126" spans="1:32" x14ac:dyDescent="0.25">
      <c r="A126" s="8" t="str">
        <f>_xlfn.CONCAT("001/",PEDIDOS[[#This Row],[Nota Fiscal]])</f>
        <v>001/000023014</v>
      </c>
      <c r="B126" s="8" t="str">
        <f>_xlfn.XLOOKUP(PEDIDOS[[#This Row],[NFS]],'[1]MOVIMENTAÇÃO DE ESTOQUE'!AA:AA,'[1]MOVIMENTAÇÃO DE ESTOQUE'!A:A,"NÃO",0,1)</f>
        <v>072004003</v>
      </c>
      <c r="C126" s="9">
        <f>IFERROR(SUM(PEDIDOS[[#This Row],[PRAZO 1]:[PRAZO 6]])/COUNT(PEDIDOS[[#This Row],[PRAZO 1]:[PRAZO 6]]),"VERIFICAR")</f>
        <v>28</v>
      </c>
      <c r="D126" s="9">
        <f>PEDIDOS[[#This Row],[PM]]/7</f>
        <v>4</v>
      </c>
      <c r="E126" s="10">
        <f>IF(PEDIDOS[[#This Row],[NUM DE SEMANA]]=4,0,_xlfn.XLOOKUP(PEDIDOS[[#This Row],[NUM DE SEMANA]],'[1]SEMANAS DE PAGAMENTO'!A:A,'[1]SEMANAS DE PAGAMENTO'!B:B,"VERIFICAR",-1))</f>
        <v>0</v>
      </c>
      <c r="F126" s="11">
        <f t="shared" si="5"/>
        <v>28</v>
      </c>
      <c r="G126" s="11" t="str">
        <f t="shared" si="7"/>
        <v/>
      </c>
      <c r="H126" s="11" t="str">
        <f t="shared" si="7"/>
        <v/>
      </c>
      <c r="I126" s="11" t="str">
        <f t="shared" si="7"/>
        <v/>
      </c>
      <c r="J126" s="11" t="str">
        <f t="shared" si="6"/>
        <v/>
      </c>
      <c r="K126" s="11" t="str">
        <f t="shared" si="4"/>
        <v/>
      </c>
      <c r="L126" s="12" t="s">
        <v>531</v>
      </c>
      <c r="M126" s="12" t="s">
        <v>59</v>
      </c>
      <c r="N126" s="12" t="s">
        <v>532</v>
      </c>
      <c r="O126" s="12" t="s">
        <v>258</v>
      </c>
      <c r="P126" s="12" t="s">
        <v>61</v>
      </c>
      <c r="Q126" s="12" t="s">
        <v>68</v>
      </c>
      <c r="R126" s="13">
        <v>224.19791666649999</v>
      </c>
      <c r="S126" s="13">
        <v>758</v>
      </c>
      <c r="T126" s="13">
        <v>0</v>
      </c>
      <c r="U126" s="13">
        <v>0</v>
      </c>
      <c r="V126" s="13">
        <v>0</v>
      </c>
      <c r="W126" s="13">
        <v>0</v>
      </c>
      <c r="X126" s="12">
        <v>10</v>
      </c>
      <c r="Y126" s="12" t="s">
        <v>533</v>
      </c>
      <c r="Z126" s="12" t="s">
        <v>48</v>
      </c>
      <c r="AA126" s="12" t="s">
        <v>396</v>
      </c>
      <c r="AB126" s="14" t="str">
        <f>MID(PEDIDOS[[#This Row],[Vencimento(s)]],1,10)</f>
        <v>04/02/2026</v>
      </c>
      <c r="AC126" s="14" t="str">
        <f>MID(PEDIDOS[[#This Row],[Vencimento(s)]],14,10)</f>
        <v/>
      </c>
      <c r="AD126" s="14" t="str">
        <f>MID(PEDIDOS[[#This Row],[Vencimento(s)]],27,10)</f>
        <v/>
      </c>
      <c r="AE126" s="12" t="str">
        <f>MID(PEDIDOS[[#This Row],[Vencimento(s)]],40,10)</f>
        <v/>
      </c>
      <c r="AF126" s="12" t="str">
        <f>MID(PEDIDOS[[#This Row],[Vencimento(s)]],53,10)</f>
        <v/>
      </c>
    </row>
    <row r="127" spans="1:32" x14ac:dyDescent="0.25">
      <c r="A127" s="8" t="str">
        <f>_xlfn.CONCAT("001/",PEDIDOS[[#This Row],[Nota Fiscal]])</f>
        <v>001/000023217</v>
      </c>
      <c r="B127" s="8" t="str">
        <f>_xlfn.XLOOKUP(PEDIDOS[[#This Row],[NFS]],'[1]MOVIMENTAÇÃO DE ESTOQUE'!AA:AA,'[1]MOVIMENTAÇÃO DE ESTOQUE'!A:A,"NÃO",0,1)</f>
        <v>030004015</v>
      </c>
      <c r="C127" s="9">
        <f>IFERROR(SUM(PEDIDOS[[#This Row],[PRAZO 1]:[PRAZO 6]])/COUNT(PEDIDOS[[#This Row],[PRAZO 1]:[PRAZO 6]]),"VERIFICAR")</f>
        <v>21</v>
      </c>
      <c r="D127" s="9">
        <f>PEDIDOS[[#This Row],[PM]]/7</f>
        <v>3</v>
      </c>
      <c r="E127" s="10">
        <f>IF(PEDIDOS[[#This Row],[NUM DE SEMANA]]=4,0,_xlfn.XLOOKUP(PEDIDOS[[#This Row],[NUM DE SEMANA]],'[1]SEMANAS DE PAGAMENTO'!A:A,'[1]SEMANAS DE PAGAMENTO'!B:B,"VERIFICAR",-1))</f>
        <v>1E-3</v>
      </c>
      <c r="F127" s="11">
        <f t="shared" si="5"/>
        <v>21</v>
      </c>
      <c r="G127" s="11" t="str">
        <f t="shared" si="7"/>
        <v/>
      </c>
      <c r="H127" s="11" t="str">
        <f t="shared" si="7"/>
        <v/>
      </c>
      <c r="I127" s="11" t="str">
        <f t="shared" si="7"/>
        <v/>
      </c>
      <c r="J127" s="11" t="str">
        <f t="shared" si="6"/>
        <v/>
      </c>
      <c r="K127" s="11" t="str">
        <f t="shared" si="4"/>
        <v/>
      </c>
      <c r="L127" s="12" t="s">
        <v>534</v>
      </c>
      <c r="M127" s="12" t="s">
        <v>35</v>
      </c>
      <c r="N127" s="12" t="s">
        <v>535</v>
      </c>
      <c r="O127" s="12" t="s">
        <v>85</v>
      </c>
      <c r="P127" s="12" t="s">
        <v>74</v>
      </c>
      <c r="Q127" s="12" t="s">
        <v>536</v>
      </c>
      <c r="R127" s="13">
        <v>1157.9053164955001</v>
      </c>
      <c r="S127" s="13">
        <v>4474</v>
      </c>
      <c r="T127" s="13">
        <v>0</v>
      </c>
      <c r="U127" s="13">
        <v>0</v>
      </c>
      <c r="V127" s="13">
        <v>0</v>
      </c>
      <c r="W127" s="13">
        <v>0</v>
      </c>
      <c r="X127" s="12">
        <v>40</v>
      </c>
      <c r="Y127" s="12" t="s">
        <v>537</v>
      </c>
      <c r="Z127" s="12" t="s">
        <v>48</v>
      </c>
      <c r="AA127" s="12" t="s">
        <v>192</v>
      </c>
      <c r="AB127" s="14" t="str">
        <f>MID(PEDIDOS[[#This Row],[Vencimento(s)]],1,10)</f>
        <v>12/02/2026</v>
      </c>
      <c r="AC127" s="14" t="str">
        <f>MID(PEDIDOS[[#This Row],[Vencimento(s)]],14,10)</f>
        <v/>
      </c>
      <c r="AD127" s="14" t="str">
        <f>MID(PEDIDOS[[#This Row],[Vencimento(s)]],27,10)</f>
        <v/>
      </c>
      <c r="AE127" s="12" t="str">
        <f>MID(PEDIDOS[[#This Row],[Vencimento(s)]],40,10)</f>
        <v/>
      </c>
      <c r="AF127" s="12" t="str">
        <f>MID(PEDIDOS[[#This Row],[Vencimento(s)]],53,10)</f>
        <v/>
      </c>
    </row>
    <row r="128" spans="1:32" x14ac:dyDescent="0.25">
      <c r="A128" s="8" t="str">
        <f>_xlfn.CONCAT("001/",PEDIDOS[[#This Row],[Nota Fiscal]])</f>
        <v>001/000023101</v>
      </c>
      <c r="B128" s="8" t="str">
        <f>_xlfn.XLOOKUP(PEDIDOS[[#This Row],[NFS]],'[1]MOVIMENTAÇÃO DE ESTOQUE'!AA:AA,'[1]MOVIMENTAÇÃO DE ESTOQUE'!A:A,"NÃO",0,1)</f>
        <v>030004095</v>
      </c>
      <c r="C128" s="9">
        <f>IFERROR(SUM(PEDIDOS[[#This Row],[PRAZO 1]:[PRAZO 6]])/COUNT(PEDIDOS[[#This Row],[PRAZO 1]:[PRAZO 6]]),"VERIFICAR")</f>
        <v>38.5</v>
      </c>
      <c r="D128" s="9">
        <f>PEDIDOS[[#This Row],[PM]]/7</f>
        <v>5.5</v>
      </c>
      <c r="E128" s="10">
        <f>IF(PEDIDOS[[#This Row],[NUM DE SEMANA]]=4,0,_xlfn.XLOOKUP(PEDIDOS[[#This Row],[NUM DE SEMANA]],'[1]SEMANAS DE PAGAMENTO'!A:A,'[1]SEMANAS DE PAGAMENTO'!B:B,"VERIFICAR",-1))</f>
        <v>-5.0000000000000001E-4</v>
      </c>
      <c r="F128" s="11">
        <f t="shared" si="5"/>
        <v>28</v>
      </c>
      <c r="G128" s="11">
        <f t="shared" si="7"/>
        <v>35</v>
      </c>
      <c r="H128" s="11">
        <f t="shared" si="7"/>
        <v>42</v>
      </c>
      <c r="I128" s="11">
        <f t="shared" si="7"/>
        <v>49</v>
      </c>
      <c r="J128" s="11" t="str">
        <f t="shared" si="6"/>
        <v/>
      </c>
      <c r="K128" s="11" t="str">
        <f t="shared" si="4"/>
        <v/>
      </c>
      <c r="L128" s="12" t="s">
        <v>538</v>
      </c>
      <c r="M128" s="12" t="s">
        <v>59</v>
      </c>
      <c r="N128" s="12" t="s">
        <v>539</v>
      </c>
      <c r="O128" s="12" t="s">
        <v>204</v>
      </c>
      <c r="P128" s="12" t="s">
        <v>45</v>
      </c>
      <c r="Q128" s="12" t="s">
        <v>540</v>
      </c>
      <c r="R128" s="13">
        <v>3941.9157285153501</v>
      </c>
      <c r="S128" s="13">
        <v>13141.24</v>
      </c>
      <c r="T128" s="13">
        <v>0</v>
      </c>
      <c r="U128" s="13">
        <v>0</v>
      </c>
      <c r="V128" s="13">
        <v>0</v>
      </c>
      <c r="W128" s="13">
        <v>0</v>
      </c>
      <c r="X128" s="12">
        <v>2.5</v>
      </c>
      <c r="Y128" s="12" t="s">
        <v>63</v>
      </c>
      <c r="Z128" s="12" t="s">
        <v>48</v>
      </c>
      <c r="AA128" s="12" t="s">
        <v>541</v>
      </c>
      <c r="AB128" s="14" t="str">
        <f>MID(PEDIDOS[[#This Row],[Vencimento(s)]],1,10)</f>
        <v>11/02/2026</v>
      </c>
      <c r="AC128" s="14" t="str">
        <f>MID(PEDIDOS[[#This Row],[Vencimento(s)]],14,10)</f>
        <v>18/02/2026</v>
      </c>
      <c r="AD128" s="14" t="str">
        <f>MID(PEDIDOS[[#This Row],[Vencimento(s)]],27,10)</f>
        <v>25/02/2026</v>
      </c>
      <c r="AE128" s="12" t="str">
        <f>MID(PEDIDOS[[#This Row],[Vencimento(s)]],40,10)</f>
        <v>04/03/2026</v>
      </c>
      <c r="AF128" s="12" t="str">
        <f>MID(PEDIDOS[[#This Row],[Vencimento(s)]],53,10)</f>
        <v/>
      </c>
    </row>
    <row r="129" spans="1:32" x14ac:dyDescent="0.25">
      <c r="A129" s="8" t="str">
        <f>_xlfn.CONCAT("001/",PEDIDOS[[#This Row],[Nota Fiscal]])</f>
        <v>001/000023149</v>
      </c>
      <c r="B129" s="8" t="str">
        <f>_xlfn.XLOOKUP(PEDIDOS[[#This Row],[NFS]],'[1]MOVIMENTAÇÃO DE ESTOQUE'!AA:AA,'[1]MOVIMENTAÇÃO DE ESTOQUE'!A:A,"NÃO",0,1)</f>
        <v>067004016</v>
      </c>
      <c r="C129" s="9">
        <f>IFERROR(SUM(PEDIDOS[[#This Row],[PRAZO 1]:[PRAZO 6]])/COUNT(PEDIDOS[[#This Row],[PRAZO 1]:[PRAZO 6]]),"VERIFICAR")</f>
        <v>42</v>
      </c>
      <c r="D129" s="9">
        <f>PEDIDOS[[#This Row],[PM]]/7</f>
        <v>6</v>
      </c>
      <c r="E129" s="10">
        <f>IF(PEDIDOS[[#This Row],[NUM DE SEMANA]]=4,0,_xlfn.XLOOKUP(PEDIDOS[[#This Row],[NUM DE SEMANA]],'[1]SEMANAS DE PAGAMENTO'!A:A,'[1]SEMANAS DE PAGAMENTO'!B:B,"VERIFICAR",-1))</f>
        <v>-1E-3</v>
      </c>
      <c r="F129" s="11">
        <f t="shared" si="5"/>
        <v>42</v>
      </c>
      <c r="G129" s="11" t="str">
        <f t="shared" si="7"/>
        <v/>
      </c>
      <c r="H129" s="11" t="str">
        <f t="shared" si="7"/>
        <v/>
      </c>
      <c r="I129" s="11" t="str">
        <f t="shared" si="7"/>
        <v/>
      </c>
      <c r="J129" s="11" t="str">
        <f t="shared" si="6"/>
        <v/>
      </c>
      <c r="K129" s="11" t="str">
        <f t="shared" si="4"/>
        <v/>
      </c>
      <c r="L129" s="12" t="s">
        <v>542</v>
      </c>
      <c r="M129" s="12" t="s">
        <v>543</v>
      </c>
      <c r="N129" s="12" t="s">
        <v>544</v>
      </c>
      <c r="O129" s="12" t="s">
        <v>149</v>
      </c>
      <c r="P129" s="12" t="s">
        <v>38</v>
      </c>
      <c r="Q129" s="12" t="s">
        <v>205</v>
      </c>
      <c r="R129" s="13">
        <v>64974.218121340004</v>
      </c>
      <c r="S129" s="13">
        <v>179655</v>
      </c>
      <c r="T129" s="13">
        <v>0</v>
      </c>
      <c r="U129" s="13">
        <v>0</v>
      </c>
      <c r="V129" s="13">
        <v>0</v>
      </c>
      <c r="W129" s="13">
        <v>0</v>
      </c>
      <c r="X129" s="12">
        <v>2950</v>
      </c>
      <c r="Y129" s="12" t="s">
        <v>545</v>
      </c>
      <c r="Z129" s="12" t="s">
        <v>48</v>
      </c>
      <c r="AA129" s="12" t="s">
        <v>235</v>
      </c>
      <c r="AB129" s="14" t="str">
        <f>MID(PEDIDOS[[#This Row],[Vencimento(s)]],1,10)</f>
        <v>02/03/2026</v>
      </c>
      <c r="AC129" s="14" t="str">
        <f>MID(PEDIDOS[[#This Row],[Vencimento(s)]],14,10)</f>
        <v/>
      </c>
      <c r="AD129" s="14" t="str">
        <f>MID(PEDIDOS[[#This Row],[Vencimento(s)]],27,10)</f>
        <v/>
      </c>
      <c r="AE129" s="12" t="str">
        <f>MID(PEDIDOS[[#This Row],[Vencimento(s)]],40,10)</f>
        <v/>
      </c>
      <c r="AF129" s="12" t="str">
        <f>MID(PEDIDOS[[#This Row],[Vencimento(s)]],53,10)</f>
        <v/>
      </c>
    </row>
    <row r="130" spans="1:32" x14ac:dyDescent="0.25">
      <c r="A130" s="8" t="str">
        <f>_xlfn.CONCAT("001/",PEDIDOS[[#This Row],[Nota Fiscal]])</f>
        <v>001/000023056</v>
      </c>
      <c r="B130" s="8" t="str">
        <f>_xlfn.XLOOKUP(PEDIDOS[[#This Row],[NFS]],'[1]MOVIMENTAÇÃO DE ESTOQUE'!AA:AA,'[1]MOVIMENTAÇÃO DE ESTOQUE'!A:A,"NÃO",0,1)</f>
        <v>030004040</v>
      </c>
      <c r="C130" s="9">
        <f>IFERROR(SUM(PEDIDOS[[#This Row],[PRAZO 1]:[PRAZO 6]])/COUNT(PEDIDOS[[#This Row],[PRAZO 1]:[PRAZO 6]]),"VERIFICAR")</f>
        <v>15</v>
      </c>
      <c r="D130" s="9">
        <f>PEDIDOS[[#This Row],[PM]]/7</f>
        <v>2.1428571428571428</v>
      </c>
      <c r="E130" s="10">
        <f>IF(PEDIDOS[[#This Row],[NUM DE SEMANA]]=4,0,_xlfn.XLOOKUP(PEDIDOS[[#This Row],[NUM DE SEMANA]],'[1]SEMANAS DE PAGAMENTO'!A:A,'[1]SEMANAS DE PAGAMENTO'!B:B,"VERIFICAR",-1))</f>
        <v>1.5E-3</v>
      </c>
      <c r="F130" s="11">
        <f t="shared" si="5"/>
        <v>15</v>
      </c>
      <c r="G130" s="11" t="str">
        <f t="shared" si="7"/>
        <v/>
      </c>
      <c r="H130" s="11" t="str">
        <f t="shared" si="7"/>
        <v/>
      </c>
      <c r="I130" s="11" t="str">
        <f t="shared" si="7"/>
        <v/>
      </c>
      <c r="J130" s="11" t="str">
        <f t="shared" si="6"/>
        <v/>
      </c>
      <c r="K130" s="11" t="str">
        <f t="shared" si="4"/>
        <v/>
      </c>
      <c r="L130" s="12" t="s">
        <v>546</v>
      </c>
      <c r="M130" s="12" t="s">
        <v>547</v>
      </c>
      <c r="N130" s="12" t="s">
        <v>548</v>
      </c>
      <c r="O130" s="12" t="s">
        <v>238</v>
      </c>
      <c r="P130" s="12" t="s">
        <v>111</v>
      </c>
      <c r="Q130" s="12" t="s">
        <v>549</v>
      </c>
      <c r="R130" s="13">
        <v>2477.2621762813001</v>
      </c>
      <c r="S130" s="13">
        <v>4951.5600000000004</v>
      </c>
      <c r="T130" s="13">
        <v>0</v>
      </c>
      <c r="U130" s="13">
        <v>0</v>
      </c>
      <c r="V130" s="13">
        <v>0</v>
      </c>
      <c r="W130" s="13">
        <v>0</v>
      </c>
      <c r="X130" s="12">
        <v>1</v>
      </c>
      <c r="Y130" s="12" t="s">
        <v>56</v>
      </c>
      <c r="Z130" s="12" t="s">
        <v>48</v>
      </c>
      <c r="AA130" s="12" t="s">
        <v>550</v>
      </c>
      <c r="AB130" s="14" t="str">
        <f>MID(PEDIDOS[[#This Row],[Vencimento(s)]],1,10)</f>
        <v>24/01/2026</v>
      </c>
      <c r="AC130" s="14" t="str">
        <f>MID(PEDIDOS[[#This Row],[Vencimento(s)]],14,10)</f>
        <v/>
      </c>
      <c r="AD130" s="14" t="str">
        <f>MID(PEDIDOS[[#This Row],[Vencimento(s)]],27,10)</f>
        <v/>
      </c>
      <c r="AE130" s="12" t="str">
        <f>MID(PEDIDOS[[#This Row],[Vencimento(s)]],40,10)</f>
        <v/>
      </c>
      <c r="AF130" s="12" t="str">
        <f>MID(PEDIDOS[[#This Row],[Vencimento(s)]],53,10)</f>
        <v/>
      </c>
    </row>
    <row r="131" spans="1:32" x14ac:dyDescent="0.25">
      <c r="A131" s="8" t="str">
        <f>_xlfn.CONCAT("001/",PEDIDOS[[#This Row],[Nota Fiscal]])</f>
        <v>001/000022992</v>
      </c>
      <c r="B131" s="8" t="str">
        <f>_xlfn.XLOOKUP(PEDIDOS[[#This Row],[NFS]],'[1]MOVIMENTAÇÃO DE ESTOQUE'!AA:AA,'[1]MOVIMENTAÇÃO DE ESTOQUE'!A:A,"NÃO",0,1)</f>
        <v>007002001</v>
      </c>
      <c r="C131" s="9">
        <f>IFERROR(SUM(PEDIDOS[[#This Row],[PRAZO 1]:[PRAZO 6]])/COUNT(PEDIDOS[[#This Row],[PRAZO 1]:[PRAZO 6]]),"VERIFICAR")</f>
        <v>30</v>
      </c>
      <c r="D131" s="9">
        <f>PEDIDOS[[#This Row],[PM]]/7</f>
        <v>4.2857142857142856</v>
      </c>
      <c r="E131" s="10">
        <f>IF(PEDIDOS[[#This Row],[NUM DE SEMANA]]=4,0,_xlfn.XLOOKUP(PEDIDOS[[#This Row],[NUM DE SEMANA]],'[1]SEMANAS DE PAGAMENTO'!A:A,'[1]SEMANAS DE PAGAMENTO'!B:B,"VERIFICAR",-1))</f>
        <v>5.0000000000000001E-4</v>
      </c>
      <c r="F131" s="11">
        <f t="shared" si="5"/>
        <v>30</v>
      </c>
      <c r="G131" s="11" t="str">
        <f t="shared" si="7"/>
        <v/>
      </c>
      <c r="H131" s="11" t="str">
        <f t="shared" si="7"/>
        <v/>
      </c>
      <c r="I131" s="11" t="str">
        <f t="shared" si="7"/>
        <v/>
      </c>
      <c r="J131" s="11" t="str">
        <f t="shared" si="6"/>
        <v/>
      </c>
      <c r="K131" s="11" t="str">
        <f t="shared" ref="K131:K168" si="8">IF(AG131&lt;&gt;0,AG131-$O131,"")</f>
        <v/>
      </c>
      <c r="L131" s="12" t="s">
        <v>551</v>
      </c>
      <c r="M131" s="12" t="s">
        <v>59</v>
      </c>
      <c r="N131" s="12" t="s">
        <v>552</v>
      </c>
      <c r="O131" s="12" t="s">
        <v>275</v>
      </c>
      <c r="P131" s="12" t="s">
        <v>54</v>
      </c>
      <c r="Q131" s="12" t="s">
        <v>362</v>
      </c>
      <c r="R131" s="13">
        <v>10051.56</v>
      </c>
      <c r="S131" s="13">
        <v>18046.8</v>
      </c>
      <c r="T131" s="13">
        <v>0</v>
      </c>
      <c r="U131" s="13">
        <v>0</v>
      </c>
      <c r="V131" s="13">
        <v>0</v>
      </c>
      <c r="W131" s="13">
        <v>0</v>
      </c>
      <c r="X131" s="12">
        <v>540</v>
      </c>
      <c r="Y131" s="12" t="s">
        <v>553</v>
      </c>
      <c r="Z131" s="12" t="s">
        <v>41</v>
      </c>
      <c r="AA131" s="12" t="s">
        <v>342</v>
      </c>
      <c r="AB131" s="14" t="str">
        <f>MID(PEDIDOS[[#This Row],[Vencimento(s)]],1,10)</f>
        <v>05/02/2026</v>
      </c>
      <c r="AC131" s="14" t="str">
        <f>MID(PEDIDOS[[#This Row],[Vencimento(s)]],14,10)</f>
        <v/>
      </c>
      <c r="AD131" s="14" t="str">
        <f>MID(PEDIDOS[[#This Row],[Vencimento(s)]],27,10)</f>
        <v/>
      </c>
      <c r="AE131" s="12" t="str">
        <f>MID(PEDIDOS[[#This Row],[Vencimento(s)]],40,10)</f>
        <v/>
      </c>
      <c r="AF131" s="12" t="str">
        <f>MID(PEDIDOS[[#This Row],[Vencimento(s)]],53,10)</f>
        <v/>
      </c>
    </row>
    <row r="132" spans="1:32" x14ac:dyDescent="0.25">
      <c r="A132" s="8" t="str">
        <f>_xlfn.CONCAT("001/",PEDIDOS[[#This Row],[Nota Fiscal]])</f>
        <v>001/000023070</v>
      </c>
      <c r="B132" s="8" t="str">
        <f>_xlfn.XLOOKUP(PEDIDOS[[#This Row],[NFS]],'[1]MOVIMENTAÇÃO DE ESTOQUE'!AA:AA,'[1]MOVIMENTAÇÃO DE ESTOQUE'!A:A,"NÃO",0,1)</f>
        <v>026005001</v>
      </c>
      <c r="C132" s="9">
        <f>IFERROR(SUM(PEDIDOS[[#This Row],[PRAZO 1]:[PRAZO 6]])/COUNT(PEDIDOS[[#This Row],[PRAZO 1]:[PRAZO 6]]),"VERIFICAR")</f>
        <v>46</v>
      </c>
      <c r="D132" s="9">
        <f>PEDIDOS[[#This Row],[PM]]/7</f>
        <v>6.5714285714285712</v>
      </c>
      <c r="E132" s="10">
        <f>IF(PEDIDOS[[#This Row],[NUM DE SEMANA]]=4,0,_xlfn.XLOOKUP(PEDIDOS[[#This Row],[NUM DE SEMANA]],'[1]SEMANAS DE PAGAMENTO'!A:A,'[1]SEMANAS DE PAGAMENTO'!B:B,"VERIFICAR",-1))</f>
        <v>-1E-3</v>
      </c>
      <c r="F132" s="11">
        <f t="shared" ref="F132:F168" si="9">IF(AB132&lt;&gt;0,AB132-$O132,"")</f>
        <v>46</v>
      </c>
      <c r="G132" s="11" t="str">
        <f t="shared" si="7"/>
        <v/>
      </c>
      <c r="H132" s="11" t="str">
        <f t="shared" si="7"/>
        <v/>
      </c>
      <c r="I132" s="11" t="str">
        <f t="shared" si="7"/>
        <v/>
      </c>
      <c r="J132" s="11" t="str">
        <f t="shared" si="6"/>
        <v/>
      </c>
      <c r="K132" s="11" t="str">
        <f t="shared" si="8"/>
        <v/>
      </c>
      <c r="L132" s="12" t="s">
        <v>554</v>
      </c>
      <c r="M132" s="12" t="s">
        <v>59</v>
      </c>
      <c r="N132" s="12" t="s">
        <v>555</v>
      </c>
      <c r="O132" s="12" t="s">
        <v>268</v>
      </c>
      <c r="P132" s="12" t="s">
        <v>45</v>
      </c>
      <c r="Q132" s="12" t="s">
        <v>556</v>
      </c>
      <c r="R132" s="13">
        <v>9874.4511722999996</v>
      </c>
      <c r="S132" s="13">
        <v>17169.900000000001</v>
      </c>
      <c r="T132" s="13">
        <v>0</v>
      </c>
      <c r="U132" s="13">
        <v>0</v>
      </c>
      <c r="V132" s="13">
        <v>0</v>
      </c>
      <c r="W132" s="13">
        <v>0</v>
      </c>
      <c r="X132" s="12">
        <v>110</v>
      </c>
      <c r="Y132" s="12" t="s">
        <v>557</v>
      </c>
      <c r="Z132" s="12" t="s">
        <v>41</v>
      </c>
      <c r="AA132" s="12" t="s">
        <v>558</v>
      </c>
      <c r="AB132" s="14" t="str">
        <f>MID(PEDIDOS[[#This Row],[Vencimento(s)]],1,10)</f>
        <v>27/02/2026</v>
      </c>
      <c r="AC132" s="14" t="str">
        <f>MID(PEDIDOS[[#This Row],[Vencimento(s)]],14,10)</f>
        <v/>
      </c>
      <c r="AD132" s="14" t="str">
        <f>MID(PEDIDOS[[#This Row],[Vencimento(s)]],27,10)</f>
        <v/>
      </c>
      <c r="AE132" s="12" t="str">
        <f>MID(PEDIDOS[[#This Row],[Vencimento(s)]],40,10)</f>
        <v/>
      </c>
      <c r="AF132" s="12" t="str">
        <f>MID(PEDIDOS[[#This Row],[Vencimento(s)]],53,10)</f>
        <v/>
      </c>
    </row>
    <row r="133" spans="1:32" x14ac:dyDescent="0.25">
      <c r="A133" s="8" t="str">
        <f>_xlfn.CONCAT("001/",PEDIDOS[[#This Row],[Nota Fiscal]])</f>
        <v>001/000022982</v>
      </c>
      <c r="B133" s="8" t="str">
        <f>_xlfn.XLOOKUP(PEDIDOS[[#This Row],[NFS]],'[1]MOVIMENTAÇÃO DE ESTOQUE'!AA:AA,'[1]MOVIMENTAÇÃO DE ESTOQUE'!A:A,"NÃO",0,1)</f>
        <v>008008001</v>
      </c>
      <c r="C133" s="9">
        <f>IFERROR(SUM(PEDIDOS[[#This Row],[PRAZO 1]:[PRAZO 6]])/COUNT(PEDIDOS[[#This Row],[PRAZO 1]:[PRAZO 6]]),"VERIFICAR")</f>
        <v>90</v>
      </c>
      <c r="D133" s="9">
        <f>PEDIDOS[[#This Row],[PM]]/7</f>
        <v>12.857142857142858</v>
      </c>
      <c r="E133" s="10">
        <f>IF(PEDIDOS[[#This Row],[NUM DE SEMANA]]=4,0,_xlfn.XLOOKUP(PEDIDOS[[#This Row],[NUM DE SEMANA]],'[1]SEMANAS DE PAGAMENTO'!A:A,'[1]SEMANAS DE PAGAMENTO'!B:B,"VERIFICAR",-1))</f>
        <v>-4.0000000000000001E-3</v>
      </c>
      <c r="F133" s="11">
        <f t="shared" si="9"/>
        <v>90</v>
      </c>
      <c r="G133" s="11" t="str">
        <f t="shared" si="7"/>
        <v/>
      </c>
      <c r="H133" s="11" t="str">
        <f t="shared" si="7"/>
        <v/>
      </c>
      <c r="I133" s="11" t="str">
        <f t="shared" si="7"/>
        <v/>
      </c>
      <c r="J133" s="11" t="str">
        <f t="shared" si="6"/>
        <v/>
      </c>
      <c r="K133" s="11" t="str">
        <f t="shared" si="8"/>
        <v/>
      </c>
      <c r="L133" s="12" t="s">
        <v>559</v>
      </c>
      <c r="M133" s="12" t="s">
        <v>35</v>
      </c>
      <c r="N133" s="12" t="s">
        <v>560</v>
      </c>
      <c r="O133" s="12" t="s">
        <v>275</v>
      </c>
      <c r="P133" s="12" t="s">
        <v>45</v>
      </c>
      <c r="Q133" s="12" t="s">
        <v>484</v>
      </c>
      <c r="R133" s="13">
        <v>66384.548167920002</v>
      </c>
      <c r="S133" s="13">
        <v>214170</v>
      </c>
      <c r="T133" s="13">
        <v>0</v>
      </c>
      <c r="U133" s="13">
        <v>0</v>
      </c>
      <c r="V133" s="13">
        <v>0</v>
      </c>
      <c r="W133" s="13">
        <v>0</v>
      </c>
      <c r="X133" s="12">
        <v>300</v>
      </c>
      <c r="Y133" s="12" t="s">
        <v>561</v>
      </c>
      <c r="Z133" s="12" t="s">
        <v>41</v>
      </c>
      <c r="AA133" s="12" t="s">
        <v>562</v>
      </c>
      <c r="AB133" s="14" t="str">
        <f>MID(PEDIDOS[[#This Row],[Vencimento(s)]],1,10)</f>
        <v>06/04/2026</v>
      </c>
      <c r="AC133" s="14" t="str">
        <f>MID(PEDIDOS[[#This Row],[Vencimento(s)]],14,10)</f>
        <v/>
      </c>
      <c r="AD133" s="14" t="str">
        <f>MID(PEDIDOS[[#This Row],[Vencimento(s)]],27,10)</f>
        <v/>
      </c>
      <c r="AE133" s="12" t="str">
        <f>MID(PEDIDOS[[#This Row],[Vencimento(s)]],40,10)</f>
        <v/>
      </c>
      <c r="AF133" s="12" t="str">
        <f>MID(PEDIDOS[[#This Row],[Vencimento(s)]],53,10)</f>
        <v/>
      </c>
    </row>
    <row r="134" spans="1:32" x14ac:dyDescent="0.25">
      <c r="A134" s="8" t="str">
        <f>_xlfn.CONCAT("001/",PEDIDOS[[#This Row],[Nota Fiscal]])</f>
        <v>001/000023305</v>
      </c>
      <c r="B134" s="8" t="str">
        <f>_xlfn.XLOOKUP(PEDIDOS[[#This Row],[NFS]],'[1]MOVIMENTAÇÃO DE ESTOQUE'!AA:AA,'[1]MOVIMENTAÇÃO DE ESTOQUE'!A:A,"NÃO",0,1)</f>
        <v>008008003</v>
      </c>
      <c r="C134" s="9">
        <f>IFERROR(SUM(PEDIDOS[[#This Row],[PRAZO 1]:[PRAZO 6]])/COUNT(PEDIDOS[[#This Row],[PRAZO 1]:[PRAZO 6]]),"VERIFICAR")</f>
        <v>94</v>
      </c>
      <c r="D134" s="9">
        <f>PEDIDOS[[#This Row],[PM]]/7</f>
        <v>13.428571428571429</v>
      </c>
      <c r="E134" s="10">
        <f>IF(PEDIDOS[[#This Row],[NUM DE SEMANA]]=4,0,_xlfn.XLOOKUP(PEDIDOS[[#This Row],[NUM DE SEMANA]],'[1]SEMANAS DE PAGAMENTO'!A:A,'[1]SEMANAS DE PAGAMENTO'!B:B,"VERIFICAR",-1))</f>
        <v>-4.5000000000000005E-3</v>
      </c>
      <c r="F134" s="11">
        <f t="shared" si="9"/>
        <v>94</v>
      </c>
      <c r="G134" s="11" t="str">
        <f t="shared" si="7"/>
        <v/>
      </c>
      <c r="H134" s="11" t="str">
        <f t="shared" si="7"/>
        <v/>
      </c>
      <c r="I134" s="11" t="str">
        <f t="shared" si="7"/>
        <v/>
      </c>
      <c r="J134" s="11" t="str">
        <f t="shared" si="6"/>
        <v/>
      </c>
      <c r="K134" s="11" t="str">
        <f t="shared" si="8"/>
        <v/>
      </c>
      <c r="L134" s="12" t="s">
        <v>563</v>
      </c>
      <c r="M134" s="12" t="s">
        <v>35</v>
      </c>
      <c r="N134" s="12" t="s">
        <v>564</v>
      </c>
      <c r="O134" s="12" t="s">
        <v>37</v>
      </c>
      <c r="P134" s="12" t="s">
        <v>45</v>
      </c>
      <c r="Q134" s="12" t="s">
        <v>484</v>
      </c>
      <c r="R134" s="13">
        <v>208644.14178003999</v>
      </c>
      <c r="S134" s="13">
        <v>477412</v>
      </c>
      <c r="T134" s="13">
        <v>0</v>
      </c>
      <c r="U134" s="13">
        <v>0</v>
      </c>
      <c r="V134" s="13">
        <v>0</v>
      </c>
      <c r="W134" s="13">
        <v>0</v>
      </c>
      <c r="X134" s="12">
        <v>400</v>
      </c>
      <c r="Y134" s="12" t="s">
        <v>565</v>
      </c>
      <c r="Z134" s="12" t="s">
        <v>41</v>
      </c>
      <c r="AA134" s="12" t="s">
        <v>486</v>
      </c>
      <c r="AB134" s="14" t="str">
        <f>MID(PEDIDOS[[#This Row],[Vencimento(s)]],1,10)</f>
        <v>04/05/2026</v>
      </c>
      <c r="AC134" s="14" t="str">
        <f>MID(PEDIDOS[[#This Row],[Vencimento(s)]],14,10)</f>
        <v/>
      </c>
      <c r="AD134" s="14" t="str">
        <f>MID(PEDIDOS[[#This Row],[Vencimento(s)]],27,10)</f>
        <v/>
      </c>
      <c r="AE134" s="12" t="str">
        <f>MID(PEDIDOS[[#This Row],[Vencimento(s)]],40,10)</f>
        <v/>
      </c>
      <c r="AF134" s="12" t="str">
        <f>MID(PEDIDOS[[#This Row],[Vencimento(s)]],53,10)</f>
        <v/>
      </c>
    </row>
    <row r="135" spans="1:32" x14ac:dyDescent="0.25">
      <c r="A135" s="8" t="str">
        <f>_xlfn.CONCAT("001/",PEDIDOS[[#This Row],[Nota Fiscal]])</f>
        <v>001/000023203</v>
      </c>
      <c r="B135" s="8" t="str">
        <f>_xlfn.XLOOKUP(PEDIDOS[[#This Row],[NFS]],'[1]MOVIMENTAÇÃO DE ESTOQUE'!AA:AA,'[1]MOVIMENTAÇÃO DE ESTOQUE'!A:A,"NÃO",0,1)</f>
        <v>026005033</v>
      </c>
      <c r="C135" s="9">
        <f>IFERROR(SUM(PEDIDOS[[#This Row],[PRAZO 1]:[PRAZO 6]])/COUNT(PEDIDOS[[#This Row],[PRAZO 1]:[PRAZO 6]]),"VERIFICAR")</f>
        <v>28</v>
      </c>
      <c r="D135" s="9">
        <f>PEDIDOS[[#This Row],[PM]]/7</f>
        <v>4</v>
      </c>
      <c r="E135" s="10">
        <f>IF(PEDIDOS[[#This Row],[NUM DE SEMANA]]=4,0,_xlfn.XLOOKUP(PEDIDOS[[#This Row],[NUM DE SEMANA]],'[1]SEMANAS DE PAGAMENTO'!A:A,'[1]SEMANAS DE PAGAMENTO'!B:B,"VERIFICAR",-1))</f>
        <v>0</v>
      </c>
      <c r="F135" s="11">
        <f t="shared" si="9"/>
        <v>28</v>
      </c>
      <c r="G135" s="11" t="str">
        <f t="shared" si="7"/>
        <v/>
      </c>
      <c r="H135" s="11" t="str">
        <f t="shared" si="7"/>
        <v/>
      </c>
      <c r="I135" s="11" t="str">
        <f t="shared" si="7"/>
        <v/>
      </c>
      <c r="J135" s="11" t="str">
        <f t="shared" si="6"/>
        <v/>
      </c>
      <c r="K135" s="11" t="str">
        <f t="shared" si="8"/>
        <v/>
      </c>
      <c r="L135" s="12" t="s">
        <v>566</v>
      </c>
      <c r="M135" s="12" t="s">
        <v>35</v>
      </c>
      <c r="N135" s="12" t="s">
        <v>567</v>
      </c>
      <c r="O135" s="12" t="s">
        <v>168</v>
      </c>
      <c r="P135" s="12" t="s">
        <v>111</v>
      </c>
      <c r="Q135" s="12" t="s">
        <v>519</v>
      </c>
      <c r="R135" s="13">
        <v>8719.4514285719997</v>
      </c>
      <c r="S135" s="13">
        <v>4691.3999999999996</v>
      </c>
      <c r="T135" s="13">
        <v>0</v>
      </c>
      <c r="U135" s="13">
        <v>0</v>
      </c>
      <c r="V135" s="13">
        <v>0</v>
      </c>
      <c r="W135" s="13">
        <v>0</v>
      </c>
      <c r="X135" s="12">
        <v>20</v>
      </c>
      <c r="Y135" s="12" t="s">
        <v>568</v>
      </c>
      <c r="Z135" s="12" t="s">
        <v>48</v>
      </c>
      <c r="AA135" s="12" t="s">
        <v>142</v>
      </c>
      <c r="AB135" s="14" t="str">
        <f>MID(PEDIDOS[[#This Row],[Vencimento(s)]],1,10)</f>
        <v>18/02/2026</v>
      </c>
      <c r="AC135" s="14" t="str">
        <f>MID(PEDIDOS[[#This Row],[Vencimento(s)]],14,10)</f>
        <v/>
      </c>
      <c r="AD135" s="14" t="str">
        <f>MID(PEDIDOS[[#This Row],[Vencimento(s)]],27,10)</f>
        <v/>
      </c>
      <c r="AE135" s="12" t="str">
        <f>MID(PEDIDOS[[#This Row],[Vencimento(s)]],40,10)</f>
        <v/>
      </c>
      <c r="AF135" s="12" t="str">
        <f>MID(PEDIDOS[[#This Row],[Vencimento(s)]],53,10)</f>
        <v/>
      </c>
    </row>
    <row r="136" spans="1:32" x14ac:dyDescent="0.25">
      <c r="A136" s="8" t="str">
        <f>_xlfn.CONCAT("001/",PEDIDOS[[#This Row],[Nota Fiscal]])</f>
        <v>001/000022995</v>
      </c>
      <c r="B136" s="8" t="str">
        <f>_xlfn.XLOOKUP(PEDIDOS[[#This Row],[NFS]],'[1]MOVIMENTAÇÃO DE ESTOQUE'!AA:AA,'[1]MOVIMENTAÇÃO DE ESTOQUE'!A:A,"NÃO",0,1)</f>
        <v>030004040</v>
      </c>
      <c r="C136" s="9">
        <f>IFERROR(SUM(PEDIDOS[[#This Row],[PRAZO 1]:[PRAZO 6]])/COUNT(PEDIDOS[[#This Row],[PRAZO 1]:[PRAZO 6]]),"VERIFICAR")</f>
        <v>28</v>
      </c>
      <c r="D136" s="9">
        <f>PEDIDOS[[#This Row],[PM]]/7</f>
        <v>4</v>
      </c>
      <c r="E136" s="10">
        <f>IF(PEDIDOS[[#This Row],[NUM DE SEMANA]]=4,0,_xlfn.XLOOKUP(PEDIDOS[[#This Row],[NUM DE SEMANA]],'[1]SEMANAS DE PAGAMENTO'!A:A,'[1]SEMANAS DE PAGAMENTO'!B:B,"VERIFICAR",-1))</f>
        <v>0</v>
      </c>
      <c r="F136" s="11">
        <f t="shared" si="9"/>
        <v>28</v>
      </c>
      <c r="G136" s="11" t="str">
        <f t="shared" si="7"/>
        <v/>
      </c>
      <c r="H136" s="11" t="str">
        <f t="shared" si="7"/>
        <v/>
      </c>
      <c r="I136" s="11" t="str">
        <f t="shared" si="7"/>
        <v/>
      </c>
      <c r="J136" s="11" t="str">
        <f t="shared" si="6"/>
        <v/>
      </c>
      <c r="K136" s="11" t="str">
        <f t="shared" si="8"/>
        <v/>
      </c>
      <c r="L136" s="12" t="s">
        <v>569</v>
      </c>
      <c r="M136" s="12" t="s">
        <v>35</v>
      </c>
      <c r="N136" s="12" t="s">
        <v>570</v>
      </c>
      <c r="O136" s="12" t="s">
        <v>275</v>
      </c>
      <c r="P136" s="12" t="s">
        <v>54</v>
      </c>
      <c r="Q136" s="12" t="s">
        <v>571</v>
      </c>
      <c r="R136" s="13">
        <v>2477.2621762813001</v>
      </c>
      <c r="S136" s="13">
        <v>9049.11</v>
      </c>
      <c r="T136" s="13">
        <v>0</v>
      </c>
      <c r="U136" s="13">
        <v>0</v>
      </c>
      <c r="V136" s="13">
        <v>0</v>
      </c>
      <c r="W136" s="13">
        <v>0</v>
      </c>
      <c r="X136" s="12">
        <v>1</v>
      </c>
      <c r="Y136" s="12" t="s">
        <v>572</v>
      </c>
      <c r="Z136" s="12" t="s">
        <v>48</v>
      </c>
      <c r="AA136" s="12" t="s">
        <v>64</v>
      </c>
      <c r="AB136" s="14" t="str">
        <f>MID(PEDIDOS[[#This Row],[Vencimento(s)]],1,10)</f>
        <v>03/02/2026</v>
      </c>
      <c r="AC136" s="14" t="str">
        <f>MID(PEDIDOS[[#This Row],[Vencimento(s)]],14,10)</f>
        <v/>
      </c>
      <c r="AD136" s="14" t="str">
        <f>MID(PEDIDOS[[#This Row],[Vencimento(s)]],27,10)</f>
        <v/>
      </c>
      <c r="AE136" s="12" t="str">
        <f>MID(PEDIDOS[[#This Row],[Vencimento(s)]],40,10)</f>
        <v/>
      </c>
      <c r="AF136" s="12" t="str">
        <f>MID(PEDIDOS[[#This Row],[Vencimento(s)]],53,10)</f>
        <v/>
      </c>
    </row>
    <row r="137" spans="1:32" x14ac:dyDescent="0.25">
      <c r="A137" s="8" t="str">
        <f>_xlfn.CONCAT("001/",PEDIDOS[[#This Row],[Nota Fiscal]])</f>
        <v>001/000022978</v>
      </c>
      <c r="B137" s="8" t="str">
        <f>_xlfn.XLOOKUP(PEDIDOS[[#This Row],[NFS]],'[1]MOVIMENTAÇÃO DE ESTOQUE'!AA:AA,'[1]MOVIMENTAÇÃO DE ESTOQUE'!A:A,"NÃO",0,1)</f>
        <v>001004071</v>
      </c>
      <c r="C137" s="9">
        <f>IFERROR(SUM(PEDIDOS[[#This Row],[PRAZO 1]:[PRAZO 6]])/COUNT(PEDIDOS[[#This Row],[PRAZO 1]:[PRAZO 6]]),"VERIFICAR")</f>
        <v>45</v>
      </c>
      <c r="D137" s="9">
        <f>PEDIDOS[[#This Row],[PM]]/7</f>
        <v>6.4285714285714288</v>
      </c>
      <c r="E137" s="10">
        <f>IF(PEDIDOS[[#This Row],[NUM DE SEMANA]]=4,0,_xlfn.XLOOKUP(PEDIDOS[[#This Row],[NUM DE SEMANA]],'[1]SEMANAS DE PAGAMENTO'!A:A,'[1]SEMANAS DE PAGAMENTO'!B:B,"VERIFICAR",-1))</f>
        <v>-1E-3</v>
      </c>
      <c r="F137" s="11">
        <f t="shared" si="9"/>
        <v>45</v>
      </c>
      <c r="G137" s="11" t="str">
        <f t="shared" si="7"/>
        <v/>
      </c>
      <c r="H137" s="11" t="str">
        <f t="shared" si="7"/>
        <v/>
      </c>
      <c r="I137" s="11" t="str">
        <f t="shared" si="7"/>
        <v/>
      </c>
      <c r="J137" s="11" t="str">
        <f t="shared" si="6"/>
        <v/>
      </c>
      <c r="K137" s="11" t="str">
        <f t="shared" si="8"/>
        <v/>
      </c>
      <c r="L137" s="12" t="s">
        <v>573</v>
      </c>
      <c r="M137" s="12" t="s">
        <v>59</v>
      </c>
      <c r="N137" s="12" t="s">
        <v>574</v>
      </c>
      <c r="O137" s="12" t="s">
        <v>275</v>
      </c>
      <c r="P137" s="12" t="s">
        <v>45</v>
      </c>
      <c r="Q137" s="12" t="s">
        <v>385</v>
      </c>
      <c r="R137" s="13">
        <v>406.23334578740003</v>
      </c>
      <c r="S137" s="13">
        <v>1486.06</v>
      </c>
      <c r="T137" s="13">
        <v>0</v>
      </c>
      <c r="U137" s="13">
        <v>0</v>
      </c>
      <c r="V137" s="13">
        <v>0</v>
      </c>
      <c r="W137" s="13">
        <v>0</v>
      </c>
      <c r="X137" s="12">
        <v>1</v>
      </c>
      <c r="Y137" s="12" t="s">
        <v>575</v>
      </c>
      <c r="Z137" s="12" t="s">
        <v>177</v>
      </c>
      <c r="AA137" s="12" t="s">
        <v>349</v>
      </c>
      <c r="AB137" s="14" t="str">
        <f>MID(PEDIDOS[[#This Row],[Vencimento(s)]],1,10)</f>
        <v>20/02/2026</v>
      </c>
      <c r="AC137" s="14" t="str">
        <f>MID(PEDIDOS[[#This Row],[Vencimento(s)]],14,10)</f>
        <v/>
      </c>
      <c r="AD137" s="14" t="str">
        <f>MID(PEDIDOS[[#This Row],[Vencimento(s)]],27,10)</f>
        <v/>
      </c>
      <c r="AE137" s="12" t="str">
        <f>MID(PEDIDOS[[#This Row],[Vencimento(s)]],40,10)</f>
        <v/>
      </c>
      <c r="AF137" s="12" t="str">
        <f>MID(PEDIDOS[[#This Row],[Vencimento(s)]],53,10)</f>
        <v/>
      </c>
    </row>
    <row r="138" spans="1:32" x14ac:dyDescent="0.25">
      <c r="A138" s="8" t="str">
        <f>_xlfn.CONCAT("001/",PEDIDOS[[#This Row],[Nota Fiscal]])</f>
        <v>001/000023111</v>
      </c>
      <c r="B138" s="8" t="str">
        <f>_xlfn.XLOOKUP(PEDIDOS[[#This Row],[NFS]],'[1]MOVIMENTAÇÃO DE ESTOQUE'!AA:AA,'[1]MOVIMENTAÇÃO DE ESTOQUE'!A:A,"NÃO",0,1)</f>
        <v>008014068</v>
      </c>
      <c r="C138" s="9">
        <f>IFERROR(SUM(PEDIDOS[[#This Row],[PRAZO 1]:[PRAZO 6]])/COUNT(PEDIDOS[[#This Row],[PRAZO 1]:[PRAZO 6]]),"VERIFICAR")</f>
        <v>15</v>
      </c>
      <c r="D138" s="9">
        <f>PEDIDOS[[#This Row],[PM]]/7</f>
        <v>2.1428571428571428</v>
      </c>
      <c r="E138" s="10">
        <f>IF(PEDIDOS[[#This Row],[NUM DE SEMANA]]=4,0,_xlfn.XLOOKUP(PEDIDOS[[#This Row],[NUM DE SEMANA]],'[1]SEMANAS DE PAGAMENTO'!A:A,'[1]SEMANAS DE PAGAMENTO'!B:B,"VERIFICAR",-1))</f>
        <v>1.5E-3</v>
      </c>
      <c r="F138" s="11">
        <f t="shared" si="9"/>
        <v>15</v>
      </c>
      <c r="G138" s="11" t="str">
        <f t="shared" si="7"/>
        <v/>
      </c>
      <c r="H138" s="11" t="str">
        <f t="shared" si="7"/>
        <v/>
      </c>
      <c r="I138" s="11" t="str">
        <f t="shared" si="7"/>
        <v/>
      </c>
      <c r="J138" s="11" t="str">
        <f t="shared" si="6"/>
        <v/>
      </c>
      <c r="K138" s="11" t="str">
        <f t="shared" si="8"/>
        <v/>
      </c>
      <c r="L138" s="12" t="s">
        <v>576</v>
      </c>
      <c r="M138" s="12" t="s">
        <v>35</v>
      </c>
      <c r="N138" s="12" t="s">
        <v>577</v>
      </c>
      <c r="O138" s="12" t="s">
        <v>190</v>
      </c>
      <c r="P138" s="12" t="s">
        <v>54</v>
      </c>
      <c r="Q138" s="12" t="s">
        <v>154</v>
      </c>
      <c r="R138" s="13">
        <v>526.34310000000005</v>
      </c>
      <c r="S138" s="13">
        <v>1048.1400000000001</v>
      </c>
      <c r="T138" s="13">
        <v>0</v>
      </c>
      <c r="U138" s="13">
        <v>0</v>
      </c>
      <c r="V138" s="13">
        <v>0</v>
      </c>
      <c r="W138" s="13">
        <v>0</v>
      </c>
      <c r="X138" s="12">
        <v>1</v>
      </c>
      <c r="Y138" s="12" t="s">
        <v>578</v>
      </c>
      <c r="Z138" s="12" t="s">
        <v>48</v>
      </c>
      <c r="AA138" s="12" t="s">
        <v>37</v>
      </c>
      <c r="AB138" s="14" t="str">
        <f>MID(PEDIDOS[[#This Row],[Vencimento(s)]],1,10)</f>
        <v>30/01/2026</v>
      </c>
      <c r="AC138" s="14" t="str">
        <f>MID(PEDIDOS[[#This Row],[Vencimento(s)]],14,10)</f>
        <v/>
      </c>
      <c r="AD138" s="14" t="str">
        <f>MID(PEDIDOS[[#This Row],[Vencimento(s)]],27,10)</f>
        <v/>
      </c>
      <c r="AE138" s="12" t="str">
        <f>MID(PEDIDOS[[#This Row],[Vencimento(s)]],40,10)</f>
        <v/>
      </c>
      <c r="AF138" s="12" t="str">
        <f>MID(PEDIDOS[[#This Row],[Vencimento(s)]],53,10)</f>
        <v/>
      </c>
    </row>
    <row r="139" spans="1:32" x14ac:dyDescent="0.25">
      <c r="A139" s="8" t="str">
        <f>_xlfn.CONCAT("001/",PEDIDOS[[#This Row],[Nota Fiscal]])</f>
        <v>001/000023166</v>
      </c>
      <c r="B139" s="8" t="str">
        <f>_xlfn.XLOOKUP(PEDIDOS[[#This Row],[NFS]],'[1]MOVIMENTAÇÃO DE ESTOQUE'!AA:AA,'[1]MOVIMENTAÇÃO DE ESTOQUE'!A:A,"NÃO",0,1)</f>
        <v>067004016</v>
      </c>
      <c r="C139" s="9">
        <f>IFERROR(SUM(PEDIDOS[[#This Row],[PRAZO 1]:[PRAZO 6]])/COUNT(PEDIDOS[[#This Row],[PRAZO 1]:[PRAZO 6]]),"VERIFICAR")</f>
        <v>50</v>
      </c>
      <c r="D139" s="9">
        <f>PEDIDOS[[#This Row],[PM]]/7</f>
        <v>7.1428571428571432</v>
      </c>
      <c r="E139" s="10">
        <f>IF(PEDIDOS[[#This Row],[NUM DE SEMANA]]=4,0,_xlfn.XLOOKUP(PEDIDOS[[#This Row],[NUM DE SEMANA]],'[1]SEMANAS DE PAGAMENTO'!A:A,'[1]SEMANAS DE PAGAMENTO'!B:B,"VERIFICAR",-1))</f>
        <v>-1.5E-3</v>
      </c>
      <c r="F139" s="11">
        <f t="shared" si="9"/>
        <v>50</v>
      </c>
      <c r="G139" s="11" t="str">
        <f t="shared" si="7"/>
        <v/>
      </c>
      <c r="H139" s="11" t="str">
        <f t="shared" si="7"/>
        <v/>
      </c>
      <c r="I139" s="11" t="str">
        <f t="shared" si="7"/>
        <v/>
      </c>
      <c r="J139" s="11" t="str">
        <f t="shared" si="6"/>
        <v/>
      </c>
      <c r="K139" s="11" t="str">
        <f t="shared" si="8"/>
        <v/>
      </c>
      <c r="L139" s="12" t="s">
        <v>579</v>
      </c>
      <c r="M139" s="12" t="s">
        <v>166</v>
      </c>
      <c r="N139" s="12" t="s">
        <v>580</v>
      </c>
      <c r="O139" s="12" t="s">
        <v>149</v>
      </c>
      <c r="P139" s="12" t="s">
        <v>45</v>
      </c>
      <c r="Q139" s="12" t="s">
        <v>433</v>
      </c>
      <c r="R139" s="13">
        <v>8810.0634740799997</v>
      </c>
      <c r="S139" s="13">
        <v>24788</v>
      </c>
      <c r="T139" s="13">
        <v>0</v>
      </c>
      <c r="U139" s="13">
        <v>0</v>
      </c>
      <c r="V139" s="13">
        <v>0</v>
      </c>
      <c r="W139" s="13">
        <v>0</v>
      </c>
      <c r="X139" s="12">
        <v>400</v>
      </c>
      <c r="Y139" s="12" t="s">
        <v>581</v>
      </c>
      <c r="Z139" s="12" t="s">
        <v>48</v>
      </c>
      <c r="AA139" s="12" t="s">
        <v>435</v>
      </c>
      <c r="AB139" s="14" t="str">
        <f>MID(PEDIDOS[[#This Row],[Vencimento(s)]],1,10)</f>
        <v>10/03/2026</v>
      </c>
      <c r="AC139" s="14" t="str">
        <f>MID(PEDIDOS[[#This Row],[Vencimento(s)]],14,10)</f>
        <v/>
      </c>
      <c r="AD139" s="14" t="str">
        <f>MID(PEDIDOS[[#This Row],[Vencimento(s)]],27,10)</f>
        <v/>
      </c>
      <c r="AE139" s="12" t="str">
        <f>MID(PEDIDOS[[#This Row],[Vencimento(s)]],40,10)</f>
        <v/>
      </c>
      <c r="AF139" s="12" t="str">
        <f>MID(PEDIDOS[[#This Row],[Vencimento(s)]],53,10)</f>
        <v/>
      </c>
    </row>
    <row r="140" spans="1:32" x14ac:dyDescent="0.25">
      <c r="A140" s="8" t="str">
        <f>_xlfn.CONCAT("001/",PEDIDOS[[#This Row],[Nota Fiscal]])</f>
        <v>001/000022971</v>
      </c>
      <c r="B140" s="8" t="str">
        <f>_xlfn.XLOOKUP(PEDIDOS[[#This Row],[NFS]],'[1]MOVIMENTAÇÃO DE ESTOQUE'!AA:AA,'[1]MOVIMENTAÇÃO DE ESTOQUE'!A:A,"NÃO",0,1)</f>
        <v>063004003</v>
      </c>
      <c r="C140" s="9">
        <f>IFERROR(SUM(PEDIDOS[[#This Row],[PRAZO 1]:[PRAZO 6]])/COUNT(PEDIDOS[[#This Row],[PRAZO 1]:[PRAZO 6]]),"VERIFICAR")</f>
        <v>46</v>
      </c>
      <c r="D140" s="9">
        <f>PEDIDOS[[#This Row],[PM]]/7</f>
        <v>6.5714285714285712</v>
      </c>
      <c r="E140" s="10">
        <f>IF(PEDIDOS[[#This Row],[NUM DE SEMANA]]=4,0,_xlfn.XLOOKUP(PEDIDOS[[#This Row],[NUM DE SEMANA]],'[1]SEMANAS DE PAGAMENTO'!A:A,'[1]SEMANAS DE PAGAMENTO'!B:B,"VERIFICAR",-1))</f>
        <v>-1E-3</v>
      </c>
      <c r="F140" s="11">
        <f t="shared" si="9"/>
        <v>46</v>
      </c>
      <c r="G140" s="11" t="str">
        <f t="shared" si="7"/>
        <v/>
      </c>
      <c r="H140" s="11" t="str">
        <f t="shared" si="7"/>
        <v/>
      </c>
      <c r="I140" s="11" t="str">
        <f t="shared" si="7"/>
        <v/>
      </c>
      <c r="J140" s="11" t="str">
        <f t="shared" si="6"/>
        <v/>
      </c>
      <c r="K140" s="11" t="str">
        <f t="shared" si="8"/>
        <v/>
      </c>
      <c r="L140" s="12" t="s">
        <v>582</v>
      </c>
      <c r="M140" s="12" t="s">
        <v>59</v>
      </c>
      <c r="N140" s="12" t="s">
        <v>583</v>
      </c>
      <c r="O140" s="12" t="s">
        <v>352</v>
      </c>
      <c r="P140" s="12" t="s">
        <v>45</v>
      </c>
      <c r="Q140" s="12" t="s">
        <v>584</v>
      </c>
      <c r="R140" s="13">
        <v>2261.6678115310001</v>
      </c>
      <c r="S140" s="13">
        <v>23630.7</v>
      </c>
      <c r="T140" s="13">
        <v>0</v>
      </c>
      <c r="U140" s="13">
        <v>0</v>
      </c>
      <c r="V140" s="13">
        <v>0</v>
      </c>
      <c r="W140" s="13">
        <v>0</v>
      </c>
      <c r="X140" s="12">
        <v>10</v>
      </c>
      <c r="Y140" s="12" t="s">
        <v>585</v>
      </c>
      <c r="Z140" s="12" t="s">
        <v>41</v>
      </c>
      <c r="AA140" s="12" t="s">
        <v>349</v>
      </c>
      <c r="AB140" s="14" t="str">
        <f>MID(PEDIDOS[[#This Row],[Vencimento(s)]],1,10)</f>
        <v>20/02/2026</v>
      </c>
      <c r="AC140" s="14" t="str">
        <f>MID(PEDIDOS[[#This Row],[Vencimento(s)]],14,10)</f>
        <v/>
      </c>
      <c r="AD140" s="14" t="str">
        <f>MID(PEDIDOS[[#This Row],[Vencimento(s)]],27,10)</f>
        <v/>
      </c>
      <c r="AE140" s="12" t="str">
        <f>MID(PEDIDOS[[#This Row],[Vencimento(s)]],40,10)</f>
        <v/>
      </c>
      <c r="AF140" s="12" t="str">
        <f>MID(PEDIDOS[[#This Row],[Vencimento(s)]],53,10)</f>
        <v/>
      </c>
    </row>
    <row r="141" spans="1:32" x14ac:dyDescent="0.25">
      <c r="A141" s="8" t="str">
        <f>_xlfn.CONCAT("001/",PEDIDOS[[#This Row],[Nota Fiscal]])</f>
        <v>001/000022970</v>
      </c>
      <c r="B141" s="8" t="str">
        <f>_xlfn.XLOOKUP(PEDIDOS[[#This Row],[NFS]],'[1]MOVIMENTAÇÃO DE ESTOQUE'!AA:AA,'[1]MOVIMENTAÇÃO DE ESTOQUE'!A:A,"NÃO",0,1)</f>
        <v>063004003</v>
      </c>
      <c r="C141" s="9">
        <f>IFERROR(SUM(PEDIDOS[[#This Row],[PRAZO 1]:[PRAZO 6]])/COUNT(PEDIDOS[[#This Row],[PRAZO 1]:[PRAZO 6]]),"VERIFICAR")</f>
        <v>46</v>
      </c>
      <c r="D141" s="9">
        <f>PEDIDOS[[#This Row],[PM]]/7</f>
        <v>6.5714285714285712</v>
      </c>
      <c r="E141" s="10">
        <f>IF(PEDIDOS[[#This Row],[NUM DE SEMANA]]=4,0,_xlfn.XLOOKUP(PEDIDOS[[#This Row],[NUM DE SEMANA]],'[1]SEMANAS DE PAGAMENTO'!A:A,'[1]SEMANAS DE PAGAMENTO'!B:B,"VERIFICAR",-1))</f>
        <v>-1E-3</v>
      </c>
      <c r="F141" s="11">
        <f t="shared" si="9"/>
        <v>46</v>
      </c>
      <c r="G141" s="11" t="str">
        <f t="shared" si="7"/>
        <v/>
      </c>
      <c r="H141" s="11" t="str">
        <f t="shared" si="7"/>
        <v/>
      </c>
      <c r="I141" s="11" t="str">
        <f t="shared" si="7"/>
        <v/>
      </c>
      <c r="J141" s="11" t="str">
        <f t="shared" si="6"/>
        <v/>
      </c>
      <c r="K141" s="11" t="str">
        <f t="shared" si="8"/>
        <v/>
      </c>
      <c r="L141" s="12" t="s">
        <v>586</v>
      </c>
      <c r="M141" s="12" t="s">
        <v>59</v>
      </c>
      <c r="N141" s="12" t="s">
        <v>587</v>
      </c>
      <c r="O141" s="12" t="s">
        <v>352</v>
      </c>
      <c r="P141" s="12" t="s">
        <v>45</v>
      </c>
      <c r="Q141" s="12" t="s">
        <v>556</v>
      </c>
      <c r="R141" s="13">
        <v>2261.6678115310001</v>
      </c>
      <c r="S141" s="13">
        <v>25031.3</v>
      </c>
      <c r="T141" s="13">
        <v>0</v>
      </c>
      <c r="U141" s="13">
        <v>0</v>
      </c>
      <c r="V141" s="13">
        <v>0</v>
      </c>
      <c r="W141" s="13">
        <v>0</v>
      </c>
      <c r="X141" s="12">
        <v>10</v>
      </c>
      <c r="Y141" s="12" t="s">
        <v>588</v>
      </c>
      <c r="Z141" s="12" t="s">
        <v>41</v>
      </c>
      <c r="AA141" s="12" t="s">
        <v>349</v>
      </c>
      <c r="AB141" s="14" t="str">
        <f>MID(PEDIDOS[[#This Row],[Vencimento(s)]],1,10)</f>
        <v>20/02/2026</v>
      </c>
      <c r="AC141" s="14" t="str">
        <f>MID(PEDIDOS[[#This Row],[Vencimento(s)]],14,10)</f>
        <v/>
      </c>
      <c r="AD141" s="14" t="str">
        <f>MID(PEDIDOS[[#This Row],[Vencimento(s)]],27,10)</f>
        <v/>
      </c>
      <c r="AE141" s="12" t="str">
        <f>MID(PEDIDOS[[#This Row],[Vencimento(s)]],40,10)</f>
        <v/>
      </c>
      <c r="AF141" s="12" t="str">
        <f>MID(PEDIDOS[[#This Row],[Vencimento(s)]],53,10)</f>
        <v/>
      </c>
    </row>
    <row r="142" spans="1:32" x14ac:dyDescent="0.25">
      <c r="A142" s="8" t="str">
        <f>_xlfn.CONCAT("001/",PEDIDOS[[#This Row],[Nota Fiscal]])</f>
        <v>001/000023132</v>
      </c>
      <c r="B142" s="8" t="str">
        <f>_xlfn.XLOOKUP(PEDIDOS[[#This Row],[NFS]],'[1]MOVIMENTAÇÃO DE ESTOQUE'!AA:AA,'[1]MOVIMENTAÇÃO DE ESTOQUE'!A:A,"NÃO",0,1)</f>
        <v>031004013</v>
      </c>
      <c r="C142" s="9">
        <f>IFERROR(SUM(PEDIDOS[[#This Row],[PRAZO 1]:[PRAZO 6]])/COUNT(PEDIDOS[[#This Row],[PRAZO 1]:[PRAZO 6]]),"VERIFICAR")</f>
        <v>28</v>
      </c>
      <c r="D142" s="9">
        <f>PEDIDOS[[#This Row],[PM]]/7</f>
        <v>4</v>
      </c>
      <c r="E142" s="10">
        <f>IF(PEDIDOS[[#This Row],[NUM DE SEMANA]]=4,0,_xlfn.XLOOKUP(PEDIDOS[[#This Row],[NUM DE SEMANA]],'[1]SEMANAS DE PAGAMENTO'!A:A,'[1]SEMANAS DE PAGAMENTO'!B:B,"VERIFICAR",-1))</f>
        <v>0</v>
      </c>
      <c r="F142" s="11">
        <f t="shared" si="9"/>
        <v>28</v>
      </c>
      <c r="G142" s="11" t="str">
        <f t="shared" si="7"/>
        <v/>
      </c>
      <c r="H142" s="11" t="str">
        <f t="shared" si="7"/>
        <v/>
      </c>
      <c r="I142" s="11" t="str">
        <f t="shared" si="7"/>
        <v/>
      </c>
      <c r="J142" s="11" t="str">
        <f t="shared" si="6"/>
        <v/>
      </c>
      <c r="K142" s="11" t="str">
        <f t="shared" si="8"/>
        <v/>
      </c>
      <c r="L142" s="12" t="s">
        <v>589</v>
      </c>
      <c r="M142" s="12" t="s">
        <v>59</v>
      </c>
      <c r="N142" s="12" t="s">
        <v>590</v>
      </c>
      <c r="O142" s="12" t="s">
        <v>174</v>
      </c>
      <c r="P142" s="12" t="s">
        <v>38</v>
      </c>
      <c r="Q142" s="12" t="s">
        <v>366</v>
      </c>
      <c r="R142" s="13">
        <v>32382.52496988</v>
      </c>
      <c r="S142" s="13">
        <v>65871</v>
      </c>
      <c r="T142" s="13">
        <v>0</v>
      </c>
      <c r="U142" s="13">
        <v>0</v>
      </c>
      <c r="V142" s="13">
        <v>0</v>
      </c>
      <c r="W142" s="13">
        <v>0</v>
      </c>
      <c r="X142" s="12">
        <v>75</v>
      </c>
      <c r="Y142" s="12" t="s">
        <v>591</v>
      </c>
      <c r="Z142" s="12" t="s">
        <v>41</v>
      </c>
      <c r="AA142" s="12" t="s">
        <v>331</v>
      </c>
      <c r="AB142" s="14" t="str">
        <f>MID(PEDIDOS[[#This Row],[Vencimento(s)]],1,10)</f>
        <v>13/02/2026</v>
      </c>
      <c r="AC142" s="14" t="str">
        <f>MID(PEDIDOS[[#This Row],[Vencimento(s)]],14,10)</f>
        <v/>
      </c>
      <c r="AD142" s="14" t="str">
        <f>MID(PEDIDOS[[#This Row],[Vencimento(s)]],27,10)</f>
        <v/>
      </c>
      <c r="AE142" s="12" t="str">
        <f>MID(PEDIDOS[[#This Row],[Vencimento(s)]],40,10)</f>
        <v/>
      </c>
      <c r="AF142" s="12" t="str">
        <f>MID(PEDIDOS[[#This Row],[Vencimento(s)]],53,10)</f>
        <v/>
      </c>
    </row>
    <row r="143" spans="1:32" x14ac:dyDescent="0.25">
      <c r="A143" s="8" t="str">
        <f>_xlfn.CONCAT("001/",PEDIDOS[[#This Row],[Nota Fiscal]])</f>
        <v>001/000023137</v>
      </c>
      <c r="B143" s="8" t="str">
        <f>_xlfn.XLOOKUP(PEDIDOS[[#This Row],[NFS]],'[1]MOVIMENTAÇÃO DE ESTOQUE'!AA:AA,'[1]MOVIMENTAÇÃO DE ESTOQUE'!A:A,"NÃO",0,1)</f>
        <v>030004015</v>
      </c>
      <c r="C143" s="9">
        <f>IFERROR(SUM(PEDIDOS[[#This Row],[PRAZO 1]:[PRAZO 6]])/COUNT(PEDIDOS[[#This Row],[PRAZO 1]:[PRAZO 6]]),"VERIFICAR")</f>
        <v>0</v>
      </c>
      <c r="D143" s="9">
        <f>PEDIDOS[[#This Row],[PM]]/7</f>
        <v>0</v>
      </c>
      <c r="E143" s="10">
        <f>IF(PEDIDOS[[#This Row],[NUM DE SEMANA]]=4,0,_xlfn.XLOOKUP(PEDIDOS[[#This Row],[NUM DE SEMANA]],'[1]SEMANAS DE PAGAMENTO'!A:A,'[1]SEMANAS DE PAGAMENTO'!B:B,"VERIFICAR",-1))</f>
        <v>2E-3</v>
      </c>
      <c r="F143" s="11">
        <f t="shared" si="9"/>
        <v>0</v>
      </c>
      <c r="G143" s="11" t="str">
        <f t="shared" si="7"/>
        <v/>
      </c>
      <c r="H143" s="11" t="str">
        <f t="shared" si="7"/>
        <v/>
      </c>
      <c r="I143" s="11" t="str">
        <f t="shared" si="7"/>
        <v/>
      </c>
      <c r="J143" s="11" t="str">
        <f t="shared" si="6"/>
        <v/>
      </c>
      <c r="K143" s="11" t="str">
        <f t="shared" si="8"/>
        <v/>
      </c>
      <c r="L143" s="12" t="s">
        <v>592</v>
      </c>
      <c r="M143" s="12" t="s">
        <v>35</v>
      </c>
      <c r="N143" s="12" t="s">
        <v>593</v>
      </c>
      <c r="O143" s="12" t="s">
        <v>174</v>
      </c>
      <c r="P143" s="12" t="s">
        <v>45</v>
      </c>
      <c r="Q143" s="12" t="s">
        <v>186</v>
      </c>
      <c r="R143" s="13">
        <v>1417.3533333349999</v>
      </c>
      <c r="S143" s="13">
        <v>5067.5</v>
      </c>
      <c r="T143" s="13">
        <v>0</v>
      </c>
      <c r="U143" s="13">
        <v>0</v>
      </c>
      <c r="V143" s="13">
        <v>0</v>
      </c>
      <c r="W143" s="13">
        <v>0</v>
      </c>
      <c r="X143" s="12">
        <v>50</v>
      </c>
      <c r="Y143" s="12" t="s">
        <v>594</v>
      </c>
      <c r="Z143" s="12" t="s">
        <v>41</v>
      </c>
      <c r="AA143" s="12" t="s">
        <v>174</v>
      </c>
      <c r="AB143" s="14" t="str">
        <f>MID(PEDIDOS[[#This Row],[Vencimento(s)]],1,10)</f>
        <v>16/01/2026</v>
      </c>
      <c r="AC143" s="14" t="str">
        <f>MID(PEDIDOS[[#This Row],[Vencimento(s)]],14,10)</f>
        <v/>
      </c>
      <c r="AD143" s="14" t="str">
        <f>MID(PEDIDOS[[#This Row],[Vencimento(s)]],27,10)</f>
        <v/>
      </c>
      <c r="AE143" s="12" t="str">
        <f>MID(PEDIDOS[[#This Row],[Vencimento(s)]],40,10)</f>
        <v/>
      </c>
      <c r="AF143" s="12" t="str">
        <f>MID(PEDIDOS[[#This Row],[Vencimento(s)]],53,10)</f>
        <v/>
      </c>
    </row>
    <row r="144" spans="1:32" x14ac:dyDescent="0.25">
      <c r="A144" s="8" t="str">
        <f>_xlfn.CONCAT("001/",PEDIDOS[[#This Row],[Nota Fiscal]])</f>
        <v>001/000022981</v>
      </c>
      <c r="B144" s="8" t="str">
        <f>_xlfn.XLOOKUP(PEDIDOS[[#This Row],[NFS]],'[1]MOVIMENTAÇÃO DE ESTOQUE'!AA:AA,'[1]MOVIMENTAÇÃO DE ESTOQUE'!A:A,"NÃO",0,1)</f>
        <v>008008001</v>
      </c>
      <c r="C144" s="9">
        <f>IFERROR(SUM(PEDIDOS[[#This Row],[PRAZO 1]:[PRAZO 6]])/COUNT(PEDIDOS[[#This Row],[PRAZO 1]:[PRAZO 6]]),"VERIFICAR")</f>
        <v>90</v>
      </c>
      <c r="D144" s="9">
        <f>PEDIDOS[[#This Row],[PM]]/7</f>
        <v>12.857142857142858</v>
      </c>
      <c r="E144" s="10">
        <f>IF(PEDIDOS[[#This Row],[NUM DE SEMANA]]=4,0,_xlfn.XLOOKUP(PEDIDOS[[#This Row],[NUM DE SEMANA]],'[1]SEMANAS DE PAGAMENTO'!A:A,'[1]SEMANAS DE PAGAMENTO'!B:B,"VERIFICAR",-1))</f>
        <v>-4.0000000000000001E-3</v>
      </c>
      <c r="F144" s="11">
        <f t="shared" si="9"/>
        <v>90</v>
      </c>
      <c r="G144" s="11" t="str">
        <f t="shared" si="7"/>
        <v/>
      </c>
      <c r="H144" s="11" t="str">
        <f t="shared" si="7"/>
        <v/>
      </c>
      <c r="I144" s="11" t="str">
        <f t="shared" si="7"/>
        <v/>
      </c>
      <c r="J144" s="11" t="str">
        <f t="shared" si="6"/>
        <v/>
      </c>
      <c r="K144" s="11" t="str">
        <f t="shared" si="8"/>
        <v/>
      </c>
      <c r="L144" s="12" t="s">
        <v>595</v>
      </c>
      <c r="M144" s="12" t="s">
        <v>35</v>
      </c>
      <c r="N144" s="12" t="s">
        <v>596</v>
      </c>
      <c r="O144" s="12" t="s">
        <v>275</v>
      </c>
      <c r="P144" s="12" t="s">
        <v>45</v>
      </c>
      <c r="Q144" s="12" t="s">
        <v>484</v>
      </c>
      <c r="R144" s="13">
        <v>66384.548167920002</v>
      </c>
      <c r="S144" s="13">
        <v>214170</v>
      </c>
      <c r="T144" s="13">
        <v>0</v>
      </c>
      <c r="U144" s="13">
        <v>0</v>
      </c>
      <c r="V144" s="13">
        <v>0</v>
      </c>
      <c r="W144" s="13">
        <v>0</v>
      </c>
      <c r="X144" s="12">
        <v>300</v>
      </c>
      <c r="Y144" s="12" t="s">
        <v>597</v>
      </c>
      <c r="Z144" s="12" t="s">
        <v>41</v>
      </c>
      <c r="AA144" s="12" t="s">
        <v>562</v>
      </c>
      <c r="AB144" s="14" t="str">
        <f>MID(PEDIDOS[[#This Row],[Vencimento(s)]],1,10)</f>
        <v>06/04/2026</v>
      </c>
      <c r="AC144" s="14" t="str">
        <f>MID(PEDIDOS[[#This Row],[Vencimento(s)]],14,10)</f>
        <v/>
      </c>
      <c r="AD144" s="14" t="str">
        <f>MID(PEDIDOS[[#This Row],[Vencimento(s)]],27,10)</f>
        <v/>
      </c>
      <c r="AE144" s="12" t="str">
        <f>MID(PEDIDOS[[#This Row],[Vencimento(s)]],40,10)</f>
        <v/>
      </c>
      <c r="AF144" s="12" t="str">
        <f>MID(PEDIDOS[[#This Row],[Vencimento(s)]],53,10)</f>
        <v/>
      </c>
    </row>
    <row r="145" spans="1:32" x14ac:dyDescent="0.25">
      <c r="A145" s="8" t="str">
        <f>_xlfn.CONCAT("001/",PEDIDOS[[#This Row],[Nota Fiscal]])</f>
        <v>001/000023019</v>
      </c>
      <c r="B145" s="8" t="str">
        <f>_xlfn.XLOOKUP(PEDIDOS[[#This Row],[NFS]],'[1]MOVIMENTAÇÃO DE ESTOQUE'!AA:AA,'[1]MOVIMENTAÇÃO DE ESTOQUE'!A:A,"NÃO",0,1)</f>
        <v>002004013</v>
      </c>
      <c r="C145" s="9">
        <f>IFERROR(SUM(PEDIDOS[[#This Row],[PRAZO 1]:[PRAZO 6]])/COUNT(PEDIDOS[[#This Row],[PRAZO 1]:[PRAZO 6]]),"VERIFICAR")</f>
        <v>28</v>
      </c>
      <c r="D145" s="9">
        <f>PEDIDOS[[#This Row],[PM]]/7</f>
        <v>4</v>
      </c>
      <c r="E145" s="10">
        <f>IF(PEDIDOS[[#This Row],[NUM DE SEMANA]]=4,0,_xlfn.XLOOKUP(PEDIDOS[[#This Row],[NUM DE SEMANA]],'[1]SEMANAS DE PAGAMENTO'!A:A,'[1]SEMANAS DE PAGAMENTO'!B:B,"VERIFICAR",-1))</f>
        <v>0</v>
      </c>
      <c r="F145" s="11">
        <f t="shared" si="9"/>
        <v>28</v>
      </c>
      <c r="G145" s="11" t="str">
        <f t="shared" si="7"/>
        <v/>
      </c>
      <c r="H145" s="11" t="str">
        <f t="shared" si="7"/>
        <v/>
      </c>
      <c r="I145" s="11" t="str">
        <f t="shared" si="7"/>
        <v/>
      </c>
      <c r="J145" s="11" t="str">
        <f t="shared" si="6"/>
        <v/>
      </c>
      <c r="K145" s="11" t="str">
        <f t="shared" si="8"/>
        <v/>
      </c>
      <c r="L145" s="12" t="s">
        <v>598</v>
      </c>
      <c r="M145" s="12" t="s">
        <v>35</v>
      </c>
      <c r="N145" s="12" t="s">
        <v>599</v>
      </c>
      <c r="O145" s="12" t="s">
        <v>258</v>
      </c>
      <c r="P145" s="12" t="s">
        <v>61</v>
      </c>
      <c r="Q145" s="12" t="s">
        <v>600</v>
      </c>
      <c r="R145" s="13">
        <v>38452.233320413201</v>
      </c>
      <c r="S145" s="13">
        <v>83220.960000000006</v>
      </c>
      <c r="T145" s="13">
        <v>0</v>
      </c>
      <c r="U145" s="13">
        <v>0</v>
      </c>
      <c r="V145" s="13">
        <v>0</v>
      </c>
      <c r="W145" s="13">
        <v>0</v>
      </c>
      <c r="X145" s="12">
        <v>6</v>
      </c>
      <c r="Y145" s="12" t="s">
        <v>601</v>
      </c>
      <c r="Z145" s="12" t="s">
        <v>48</v>
      </c>
      <c r="AA145" s="12" t="s">
        <v>396</v>
      </c>
      <c r="AB145" s="14" t="str">
        <f>MID(PEDIDOS[[#This Row],[Vencimento(s)]],1,10)</f>
        <v>04/02/2026</v>
      </c>
      <c r="AC145" s="14" t="str">
        <f>MID(PEDIDOS[[#This Row],[Vencimento(s)]],14,10)</f>
        <v/>
      </c>
      <c r="AD145" s="14" t="str">
        <f>MID(PEDIDOS[[#This Row],[Vencimento(s)]],27,10)</f>
        <v/>
      </c>
      <c r="AE145" s="12" t="str">
        <f>MID(PEDIDOS[[#This Row],[Vencimento(s)]],40,10)</f>
        <v/>
      </c>
      <c r="AF145" s="12" t="str">
        <f>MID(PEDIDOS[[#This Row],[Vencimento(s)]],53,10)</f>
        <v/>
      </c>
    </row>
    <row r="146" spans="1:32" x14ac:dyDescent="0.25">
      <c r="A146" s="8" t="str">
        <f>_xlfn.CONCAT("001/",PEDIDOS[[#This Row],[Nota Fiscal]])</f>
        <v>001/000023073</v>
      </c>
      <c r="B146" s="8" t="str">
        <f>_xlfn.XLOOKUP(PEDIDOS[[#This Row],[NFS]],'[1]MOVIMENTAÇÃO DE ESTOQUE'!AA:AA,'[1]MOVIMENTAÇÃO DE ESTOQUE'!A:A,"NÃO",0,1)</f>
        <v>026005051</v>
      </c>
      <c r="C146" s="9">
        <f>IFERROR(SUM(PEDIDOS[[#This Row],[PRAZO 1]:[PRAZO 6]])/COUNT(PEDIDOS[[#This Row],[PRAZO 1]:[PRAZO 6]]),"VERIFICAR")</f>
        <v>46</v>
      </c>
      <c r="D146" s="9">
        <f>PEDIDOS[[#This Row],[PM]]/7</f>
        <v>6.5714285714285712</v>
      </c>
      <c r="E146" s="10">
        <f>IF(PEDIDOS[[#This Row],[NUM DE SEMANA]]=4,0,_xlfn.XLOOKUP(PEDIDOS[[#This Row],[NUM DE SEMANA]],'[1]SEMANAS DE PAGAMENTO'!A:A,'[1]SEMANAS DE PAGAMENTO'!B:B,"VERIFICAR",-1))</f>
        <v>-1E-3</v>
      </c>
      <c r="F146" s="11">
        <f t="shared" si="9"/>
        <v>46</v>
      </c>
      <c r="G146" s="11" t="str">
        <f t="shared" si="7"/>
        <v/>
      </c>
      <c r="H146" s="11" t="str">
        <f t="shared" si="7"/>
        <v/>
      </c>
      <c r="I146" s="11" t="str">
        <f t="shared" si="7"/>
        <v/>
      </c>
      <c r="J146" s="11" t="str">
        <f t="shared" si="7"/>
        <v/>
      </c>
      <c r="K146" s="11" t="str">
        <f t="shared" si="8"/>
        <v/>
      </c>
      <c r="L146" s="12" t="s">
        <v>602</v>
      </c>
      <c r="M146" s="12" t="s">
        <v>59</v>
      </c>
      <c r="N146" s="12" t="s">
        <v>603</v>
      </c>
      <c r="O146" s="12" t="s">
        <v>268</v>
      </c>
      <c r="P146" s="12" t="s">
        <v>45</v>
      </c>
      <c r="Q146" s="12" t="s">
        <v>556</v>
      </c>
      <c r="R146" s="13">
        <v>11590.442360376001</v>
      </c>
      <c r="S146" s="13">
        <v>18476.7</v>
      </c>
      <c r="T146" s="13">
        <v>0</v>
      </c>
      <c r="U146" s="13">
        <v>0</v>
      </c>
      <c r="V146" s="13">
        <v>0</v>
      </c>
      <c r="W146" s="13">
        <v>0</v>
      </c>
      <c r="X146" s="12">
        <v>110</v>
      </c>
      <c r="Y146" s="12" t="s">
        <v>604</v>
      </c>
      <c r="Z146" s="12" t="s">
        <v>41</v>
      </c>
      <c r="AA146" s="12" t="s">
        <v>558</v>
      </c>
      <c r="AB146" s="14" t="str">
        <f>MID(PEDIDOS[[#This Row],[Vencimento(s)]],1,10)</f>
        <v>27/02/2026</v>
      </c>
      <c r="AC146" s="14" t="str">
        <f>MID(PEDIDOS[[#This Row],[Vencimento(s)]],14,10)</f>
        <v/>
      </c>
      <c r="AD146" s="14" t="str">
        <f>MID(PEDIDOS[[#This Row],[Vencimento(s)]],27,10)</f>
        <v/>
      </c>
      <c r="AE146" s="12" t="str">
        <f>MID(PEDIDOS[[#This Row],[Vencimento(s)]],40,10)</f>
        <v/>
      </c>
      <c r="AF146" s="12" t="str">
        <f>MID(PEDIDOS[[#This Row],[Vencimento(s)]],53,10)</f>
        <v/>
      </c>
    </row>
    <row r="147" spans="1:32" x14ac:dyDescent="0.25">
      <c r="A147" s="8" t="str">
        <f>_xlfn.CONCAT("001/",PEDIDOS[[#This Row],[Nota Fiscal]])</f>
        <v>001/000023142</v>
      </c>
      <c r="B147" s="8" t="str">
        <f>_xlfn.XLOOKUP(PEDIDOS[[#This Row],[NFS]],'[1]MOVIMENTAÇÃO DE ESTOQUE'!AA:AA,'[1]MOVIMENTAÇÃO DE ESTOQUE'!A:A,"NÃO",0,1)</f>
        <v>026005051</v>
      </c>
      <c r="C147" s="9">
        <f>IFERROR(SUM(PEDIDOS[[#This Row],[PRAZO 1]:[PRAZO 6]])/COUNT(PEDIDOS[[#This Row],[PRAZO 1]:[PRAZO 6]]),"VERIFICAR")</f>
        <v>46</v>
      </c>
      <c r="D147" s="9">
        <f>PEDIDOS[[#This Row],[PM]]/7</f>
        <v>6.5714285714285712</v>
      </c>
      <c r="E147" s="10">
        <f>IF(PEDIDOS[[#This Row],[NUM DE SEMANA]]=4,0,_xlfn.XLOOKUP(PEDIDOS[[#This Row],[NUM DE SEMANA]],'[1]SEMANAS DE PAGAMENTO'!A:A,'[1]SEMANAS DE PAGAMENTO'!B:B,"VERIFICAR",-1))</f>
        <v>-1E-3</v>
      </c>
      <c r="F147" s="11">
        <f t="shared" si="9"/>
        <v>46</v>
      </c>
      <c r="G147" s="11" t="str">
        <f t="shared" ref="G147:J168" si="10">IF(AC147&lt;&gt;"",AC147-$O147,"")</f>
        <v/>
      </c>
      <c r="H147" s="11" t="str">
        <f t="shared" si="10"/>
        <v/>
      </c>
      <c r="I147" s="11" t="str">
        <f t="shared" si="10"/>
        <v/>
      </c>
      <c r="J147" s="11" t="str">
        <f t="shared" si="10"/>
        <v/>
      </c>
      <c r="K147" s="11" t="str">
        <f t="shared" si="8"/>
        <v/>
      </c>
      <c r="L147" s="12" t="s">
        <v>605</v>
      </c>
      <c r="M147" s="12" t="s">
        <v>59</v>
      </c>
      <c r="N147" s="12" t="s">
        <v>606</v>
      </c>
      <c r="O147" s="12" t="s">
        <v>149</v>
      </c>
      <c r="P147" s="12" t="s">
        <v>45</v>
      </c>
      <c r="Q147" s="12" t="s">
        <v>556</v>
      </c>
      <c r="R147" s="13">
        <v>11590.442360376001</v>
      </c>
      <c r="S147" s="13">
        <v>18476.7</v>
      </c>
      <c r="T147" s="13">
        <v>0</v>
      </c>
      <c r="U147" s="13">
        <v>0</v>
      </c>
      <c r="V147" s="13">
        <v>0</v>
      </c>
      <c r="W147" s="13">
        <v>0</v>
      </c>
      <c r="X147" s="12">
        <v>110</v>
      </c>
      <c r="Y147" s="12" t="s">
        <v>607</v>
      </c>
      <c r="Z147" s="12" t="s">
        <v>41</v>
      </c>
      <c r="AA147" s="12" t="s">
        <v>608</v>
      </c>
      <c r="AB147" s="14" t="str">
        <f>MID(PEDIDOS[[#This Row],[Vencimento(s)]],1,10)</f>
        <v>06/03/2026</v>
      </c>
      <c r="AC147" s="14" t="str">
        <f>MID(PEDIDOS[[#This Row],[Vencimento(s)]],14,10)</f>
        <v/>
      </c>
      <c r="AD147" s="14" t="str">
        <f>MID(PEDIDOS[[#This Row],[Vencimento(s)]],27,10)</f>
        <v/>
      </c>
      <c r="AE147" s="12" t="str">
        <f>MID(PEDIDOS[[#This Row],[Vencimento(s)]],40,10)</f>
        <v/>
      </c>
      <c r="AF147" s="12" t="str">
        <f>MID(PEDIDOS[[#This Row],[Vencimento(s)]],53,10)</f>
        <v/>
      </c>
    </row>
    <row r="148" spans="1:32" x14ac:dyDescent="0.25">
      <c r="A148" s="8" t="str">
        <f>_xlfn.CONCAT("001/",PEDIDOS[[#This Row],[Nota Fiscal]])</f>
        <v>001/000023251</v>
      </c>
      <c r="B148" s="8" t="str">
        <f>_xlfn.XLOOKUP(PEDIDOS[[#This Row],[NFS]],'[1]MOVIMENTAÇÃO DE ESTOQUE'!AA:AA,'[1]MOVIMENTAÇÃO DE ESTOQUE'!A:A,"NÃO",0,1)</f>
        <v>026005051</v>
      </c>
      <c r="C148" s="9">
        <f>IFERROR(SUM(PEDIDOS[[#This Row],[PRAZO 1]:[PRAZO 6]])/COUNT(PEDIDOS[[#This Row],[PRAZO 1]:[PRAZO 6]]),"VERIFICAR")</f>
        <v>46</v>
      </c>
      <c r="D148" s="9">
        <f>PEDIDOS[[#This Row],[PM]]/7</f>
        <v>6.5714285714285712</v>
      </c>
      <c r="E148" s="10">
        <f>IF(PEDIDOS[[#This Row],[NUM DE SEMANA]]=4,0,_xlfn.XLOOKUP(PEDIDOS[[#This Row],[NUM DE SEMANA]],'[1]SEMANAS DE PAGAMENTO'!A:A,'[1]SEMANAS DE PAGAMENTO'!B:B,"VERIFICAR",-1))</f>
        <v>-1E-3</v>
      </c>
      <c r="F148" s="11">
        <f t="shared" si="9"/>
        <v>46</v>
      </c>
      <c r="G148" s="11" t="str">
        <f t="shared" si="10"/>
        <v/>
      </c>
      <c r="H148" s="11" t="str">
        <f t="shared" si="10"/>
        <v/>
      </c>
      <c r="I148" s="11" t="str">
        <f t="shared" si="10"/>
        <v/>
      </c>
      <c r="J148" s="11" t="str">
        <f t="shared" si="10"/>
        <v/>
      </c>
      <c r="K148" s="11" t="str">
        <f t="shared" si="8"/>
        <v/>
      </c>
      <c r="L148" s="12" t="s">
        <v>609</v>
      </c>
      <c r="M148" s="12" t="s">
        <v>59</v>
      </c>
      <c r="N148" s="12" t="s">
        <v>610</v>
      </c>
      <c r="O148" s="12" t="s">
        <v>67</v>
      </c>
      <c r="P148" s="12" t="s">
        <v>45</v>
      </c>
      <c r="Q148" s="12" t="s">
        <v>556</v>
      </c>
      <c r="R148" s="13">
        <v>5795.2211801880003</v>
      </c>
      <c r="S148" s="13">
        <v>9238.35</v>
      </c>
      <c r="T148" s="13">
        <v>0</v>
      </c>
      <c r="U148" s="13">
        <v>0</v>
      </c>
      <c r="V148" s="13">
        <v>0</v>
      </c>
      <c r="W148" s="13">
        <v>0</v>
      </c>
      <c r="X148" s="12">
        <v>55</v>
      </c>
      <c r="Y148" s="12" t="s">
        <v>611</v>
      </c>
      <c r="Z148" s="12" t="s">
        <v>41</v>
      </c>
      <c r="AA148" s="12" t="s">
        <v>612</v>
      </c>
      <c r="AB148" s="14" t="str">
        <f>MID(PEDIDOS[[#This Row],[Vencimento(s)]],1,10)</f>
        <v>13/03/2026</v>
      </c>
      <c r="AC148" s="14" t="str">
        <f>MID(PEDIDOS[[#This Row],[Vencimento(s)]],14,10)</f>
        <v/>
      </c>
      <c r="AD148" s="14" t="str">
        <f>MID(PEDIDOS[[#This Row],[Vencimento(s)]],27,10)</f>
        <v/>
      </c>
      <c r="AE148" s="12" t="str">
        <f>MID(PEDIDOS[[#This Row],[Vencimento(s)]],40,10)</f>
        <v/>
      </c>
      <c r="AF148" s="12" t="str">
        <f>MID(PEDIDOS[[#This Row],[Vencimento(s)]],53,10)</f>
        <v/>
      </c>
    </row>
    <row r="149" spans="1:32" x14ac:dyDescent="0.25">
      <c r="A149" s="8" t="str">
        <f>_xlfn.CONCAT("001/",PEDIDOS[[#This Row],[Nota Fiscal]])</f>
        <v>001/000023156</v>
      </c>
      <c r="B149" s="8" t="str">
        <f>_xlfn.XLOOKUP(PEDIDOS[[#This Row],[NFS]],'[1]MOVIMENTAÇÃO DE ESTOQUE'!AA:AA,'[1]MOVIMENTAÇÃO DE ESTOQUE'!A:A,"NÃO",0,1)</f>
        <v>002004119</v>
      </c>
      <c r="C149" s="9">
        <f>IFERROR(SUM(PEDIDOS[[#This Row],[PRAZO 1]:[PRAZO 6]])/COUNT(PEDIDOS[[#This Row],[PRAZO 1]:[PRAZO 6]]),"VERIFICAR")</f>
        <v>0</v>
      </c>
      <c r="D149" s="9">
        <f>PEDIDOS[[#This Row],[PM]]/7</f>
        <v>0</v>
      </c>
      <c r="E149" s="10">
        <f>IF(PEDIDOS[[#This Row],[NUM DE SEMANA]]=4,0,_xlfn.XLOOKUP(PEDIDOS[[#This Row],[NUM DE SEMANA]],'[1]SEMANAS DE PAGAMENTO'!A:A,'[1]SEMANAS DE PAGAMENTO'!B:B,"VERIFICAR",-1))</f>
        <v>2E-3</v>
      </c>
      <c r="F149" s="11">
        <f t="shared" si="9"/>
        <v>0</v>
      </c>
      <c r="G149" s="11" t="str">
        <f t="shared" si="10"/>
        <v/>
      </c>
      <c r="H149" s="11" t="str">
        <f t="shared" si="10"/>
        <v/>
      </c>
      <c r="I149" s="11" t="str">
        <f t="shared" si="10"/>
        <v/>
      </c>
      <c r="J149" s="11" t="str">
        <f t="shared" si="10"/>
        <v/>
      </c>
      <c r="K149" s="11" t="str">
        <f t="shared" si="8"/>
        <v/>
      </c>
      <c r="L149" s="12" t="s">
        <v>613</v>
      </c>
      <c r="M149" s="12" t="s">
        <v>59</v>
      </c>
      <c r="N149" s="12" t="s">
        <v>614</v>
      </c>
      <c r="O149" s="12" t="s">
        <v>149</v>
      </c>
      <c r="P149" s="12" t="s">
        <v>45</v>
      </c>
      <c r="Q149" s="12" t="s">
        <v>615</v>
      </c>
      <c r="R149" s="13">
        <v>4979.8463450892996</v>
      </c>
      <c r="S149" s="13">
        <v>8910.66</v>
      </c>
      <c r="T149" s="13">
        <v>0</v>
      </c>
      <c r="U149" s="13">
        <v>0</v>
      </c>
      <c r="V149" s="13">
        <v>0</v>
      </c>
      <c r="W149" s="13">
        <v>0</v>
      </c>
      <c r="X149" s="12">
        <v>2</v>
      </c>
      <c r="Y149" s="12" t="s">
        <v>63</v>
      </c>
      <c r="Z149" s="12" t="s">
        <v>41</v>
      </c>
      <c r="AA149" s="12" t="s">
        <v>149</v>
      </c>
      <c r="AB149" s="14" t="str">
        <f>MID(PEDIDOS[[#This Row],[Vencimento(s)]],1,10)</f>
        <v>19/01/2026</v>
      </c>
      <c r="AC149" s="14" t="str">
        <f>MID(PEDIDOS[[#This Row],[Vencimento(s)]],14,10)</f>
        <v/>
      </c>
      <c r="AD149" s="14" t="str">
        <f>MID(PEDIDOS[[#This Row],[Vencimento(s)]],27,10)</f>
        <v/>
      </c>
      <c r="AE149" s="12" t="str">
        <f>MID(PEDIDOS[[#This Row],[Vencimento(s)]],40,10)</f>
        <v/>
      </c>
      <c r="AF149" s="12" t="str">
        <f>MID(PEDIDOS[[#This Row],[Vencimento(s)]],53,10)</f>
        <v/>
      </c>
    </row>
    <row r="150" spans="1:32" x14ac:dyDescent="0.25">
      <c r="A150" s="8" t="str">
        <f>_xlfn.CONCAT("001/",PEDIDOS[[#This Row],[Nota Fiscal]])</f>
        <v>001/000023133</v>
      </c>
      <c r="B150" s="8" t="str">
        <f>_xlfn.XLOOKUP(PEDIDOS[[#This Row],[NFS]],'[1]MOVIMENTAÇÃO DE ESTOQUE'!AA:AA,'[1]MOVIMENTAÇÃO DE ESTOQUE'!A:A,"NÃO",0,1)</f>
        <v>066004001</v>
      </c>
      <c r="C150" s="9">
        <f>IFERROR(SUM(PEDIDOS[[#This Row],[PRAZO 1]:[PRAZO 6]])/COUNT(PEDIDOS[[#This Row],[PRAZO 1]:[PRAZO 6]]),"VERIFICAR")</f>
        <v>50</v>
      </c>
      <c r="D150" s="9">
        <f>PEDIDOS[[#This Row],[PM]]/7</f>
        <v>7.1428571428571432</v>
      </c>
      <c r="E150" s="10">
        <f>IF(PEDIDOS[[#This Row],[NUM DE SEMANA]]=4,0,_xlfn.XLOOKUP(PEDIDOS[[#This Row],[NUM DE SEMANA]],'[1]SEMANAS DE PAGAMENTO'!A:A,'[1]SEMANAS DE PAGAMENTO'!B:B,"VERIFICAR",-1))</f>
        <v>-1.5E-3</v>
      </c>
      <c r="F150" s="11">
        <f t="shared" si="9"/>
        <v>50</v>
      </c>
      <c r="G150" s="11" t="str">
        <f t="shared" si="10"/>
        <v/>
      </c>
      <c r="H150" s="11" t="str">
        <f t="shared" si="10"/>
        <v/>
      </c>
      <c r="I150" s="11" t="str">
        <f t="shared" si="10"/>
        <v/>
      </c>
      <c r="J150" s="11" t="str">
        <f t="shared" si="10"/>
        <v/>
      </c>
      <c r="K150" s="11" t="str">
        <f t="shared" si="8"/>
        <v/>
      </c>
      <c r="L150" s="12" t="s">
        <v>616</v>
      </c>
      <c r="M150" s="12" t="s">
        <v>166</v>
      </c>
      <c r="N150" s="12" t="s">
        <v>617</v>
      </c>
      <c r="O150" s="12" t="s">
        <v>174</v>
      </c>
      <c r="P150" s="12" t="s">
        <v>45</v>
      </c>
      <c r="Q150" s="12" t="s">
        <v>433</v>
      </c>
      <c r="R150" s="13">
        <v>3871.8600476189999</v>
      </c>
      <c r="S150" s="13">
        <v>7627.55</v>
      </c>
      <c r="T150" s="13">
        <v>0</v>
      </c>
      <c r="U150" s="13">
        <v>0</v>
      </c>
      <c r="V150" s="13">
        <v>0</v>
      </c>
      <c r="W150" s="13">
        <v>0</v>
      </c>
      <c r="X150" s="12">
        <v>5</v>
      </c>
      <c r="Y150" s="12" t="s">
        <v>618</v>
      </c>
      <c r="Z150" s="12" t="s">
        <v>48</v>
      </c>
      <c r="AA150" s="12" t="s">
        <v>619</v>
      </c>
      <c r="AB150" s="14" t="str">
        <f>MID(PEDIDOS[[#This Row],[Vencimento(s)]],1,10)</f>
        <v>07/03/2026</v>
      </c>
      <c r="AC150" s="14" t="str">
        <f>MID(PEDIDOS[[#This Row],[Vencimento(s)]],14,10)</f>
        <v/>
      </c>
      <c r="AD150" s="14" t="str">
        <f>MID(PEDIDOS[[#This Row],[Vencimento(s)]],27,10)</f>
        <v/>
      </c>
      <c r="AE150" s="12" t="str">
        <f>MID(PEDIDOS[[#This Row],[Vencimento(s)]],40,10)</f>
        <v/>
      </c>
      <c r="AF150" s="12" t="str">
        <f>MID(PEDIDOS[[#This Row],[Vencimento(s)]],53,10)</f>
        <v/>
      </c>
    </row>
    <row r="151" spans="1:32" x14ac:dyDescent="0.25">
      <c r="A151" s="8" t="str">
        <f>_xlfn.CONCAT("001/",PEDIDOS[[#This Row],[Nota Fiscal]])</f>
        <v>001/000023025</v>
      </c>
      <c r="B151" s="8" t="str">
        <f>_xlfn.XLOOKUP(PEDIDOS[[#This Row],[NFS]],'[1]MOVIMENTAÇÃO DE ESTOQUE'!AA:AA,'[1]MOVIMENTAÇÃO DE ESTOQUE'!A:A,"NÃO",0,1)</f>
        <v>008014002</v>
      </c>
      <c r="C151" s="9">
        <f>IFERROR(SUM(PEDIDOS[[#This Row],[PRAZO 1]:[PRAZO 6]])/COUNT(PEDIDOS[[#This Row],[PRAZO 1]:[PRAZO 6]]),"VERIFICAR")</f>
        <v>28</v>
      </c>
      <c r="D151" s="9">
        <f>PEDIDOS[[#This Row],[PM]]/7</f>
        <v>4</v>
      </c>
      <c r="E151" s="10">
        <f>IF(PEDIDOS[[#This Row],[NUM DE SEMANA]]=4,0,_xlfn.XLOOKUP(PEDIDOS[[#This Row],[NUM DE SEMANA]],'[1]SEMANAS DE PAGAMENTO'!A:A,'[1]SEMANAS DE PAGAMENTO'!B:B,"VERIFICAR",-1))</f>
        <v>0</v>
      </c>
      <c r="F151" s="11">
        <f t="shared" si="9"/>
        <v>28</v>
      </c>
      <c r="G151" s="11" t="str">
        <f t="shared" si="10"/>
        <v/>
      </c>
      <c r="H151" s="11" t="str">
        <f t="shared" si="10"/>
        <v/>
      </c>
      <c r="I151" s="11" t="str">
        <f t="shared" si="10"/>
        <v/>
      </c>
      <c r="J151" s="11" t="str">
        <f t="shared" si="10"/>
        <v/>
      </c>
      <c r="K151" s="11" t="str">
        <f t="shared" si="8"/>
        <v/>
      </c>
      <c r="L151" s="12" t="s">
        <v>620</v>
      </c>
      <c r="M151" s="12" t="s">
        <v>35</v>
      </c>
      <c r="N151" s="12" t="s">
        <v>621</v>
      </c>
      <c r="O151" s="12" t="s">
        <v>258</v>
      </c>
      <c r="P151" s="12" t="s">
        <v>38</v>
      </c>
      <c r="Q151" s="12" t="s">
        <v>39</v>
      </c>
      <c r="R151" s="13">
        <v>549.26833897250003</v>
      </c>
      <c r="S151" s="13">
        <v>1836.2</v>
      </c>
      <c r="T151" s="13">
        <v>0</v>
      </c>
      <c r="U151" s="13">
        <v>0</v>
      </c>
      <c r="V151" s="13">
        <v>0</v>
      </c>
      <c r="W151" s="13">
        <v>0</v>
      </c>
      <c r="X151" s="12">
        <v>1</v>
      </c>
      <c r="Y151" s="12" t="s">
        <v>523</v>
      </c>
      <c r="Z151" s="12" t="s">
        <v>41</v>
      </c>
      <c r="AA151" s="12" t="s">
        <v>396</v>
      </c>
      <c r="AB151" s="14" t="str">
        <f>MID(PEDIDOS[[#This Row],[Vencimento(s)]],1,10)</f>
        <v>04/02/2026</v>
      </c>
      <c r="AC151" s="14" t="str">
        <f>MID(PEDIDOS[[#This Row],[Vencimento(s)]],14,10)</f>
        <v/>
      </c>
      <c r="AD151" s="14" t="str">
        <f>MID(PEDIDOS[[#This Row],[Vencimento(s)]],27,10)</f>
        <v/>
      </c>
      <c r="AE151" s="12" t="str">
        <f>MID(PEDIDOS[[#This Row],[Vencimento(s)]],40,10)</f>
        <v/>
      </c>
      <c r="AF151" s="12" t="str">
        <f>MID(PEDIDOS[[#This Row],[Vencimento(s)]],53,10)</f>
        <v/>
      </c>
    </row>
    <row r="152" spans="1:32" x14ac:dyDescent="0.25">
      <c r="A152" s="8" t="str">
        <f>_xlfn.CONCAT("001/",PEDIDOS[[#This Row],[Nota Fiscal]])</f>
        <v>001/000023099</v>
      </c>
      <c r="B152" s="8" t="str">
        <f>_xlfn.XLOOKUP(PEDIDOS[[#This Row],[NFS]],'[1]MOVIMENTAÇÃO DE ESTOQUE'!AA:AA,'[1]MOVIMENTAÇÃO DE ESTOQUE'!A:A,"NÃO",0,1)</f>
        <v>031004013</v>
      </c>
      <c r="C152" s="9">
        <f>IFERROR(SUM(PEDIDOS[[#This Row],[PRAZO 1]:[PRAZO 6]])/COUNT(PEDIDOS[[#This Row],[PRAZO 1]:[PRAZO 6]]),"VERIFICAR")</f>
        <v>28</v>
      </c>
      <c r="D152" s="9">
        <f>PEDIDOS[[#This Row],[PM]]/7</f>
        <v>4</v>
      </c>
      <c r="E152" s="10">
        <f>IF(PEDIDOS[[#This Row],[NUM DE SEMANA]]=4,0,_xlfn.XLOOKUP(PEDIDOS[[#This Row],[NUM DE SEMANA]],'[1]SEMANAS DE PAGAMENTO'!A:A,'[1]SEMANAS DE PAGAMENTO'!B:B,"VERIFICAR",-1))</f>
        <v>0</v>
      </c>
      <c r="F152" s="11">
        <f t="shared" si="9"/>
        <v>28</v>
      </c>
      <c r="G152" s="11" t="str">
        <f t="shared" si="10"/>
        <v/>
      </c>
      <c r="H152" s="11" t="str">
        <f t="shared" si="10"/>
        <v/>
      </c>
      <c r="I152" s="11" t="str">
        <f t="shared" si="10"/>
        <v/>
      </c>
      <c r="J152" s="11" t="str">
        <f t="shared" si="10"/>
        <v/>
      </c>
      <c r="K152" s="11" t="str">
        <f t="shared" si="8"/>
        <v/>
      </c>
      <c r="L152" s="12" t="s">
        <v>622</v>
      </c>
      <c r="M152" s="12" t="s">
        <v>59</v>
      </c>
      <c r="N152" s="12" t="s">
        <v>623</v>
      </c>
      <c r="O152" s="12" t="s">
        <v>204</v>
      </c>
      <c r="P152" s="12" t="s">
        <v>38</v>
      </c>
      <c r="Q152" s="12" t="s">
        <v>366</v>
      </c>
      <c r="R152" s="13">
        <v>21588.34997992</v>
      </c>
      <c r="S152" s="13">
        <v>43847</v>
      </c>
      <c r="T152" s="13">
        <v>0</v>
      </c>
      <c r="U152" s="13">
        <v>0</v>
      </c>
      <c r="V152" s="13">
        <v>0</v>
      </c>
      <c r="W152" s="13">
        <v>0</v>
      </c>
      <c r="X152" s="12">
        <v>50</v>
      </c>
      <c r="Y152" s="12" t="s">
        <v>624</v>
      </c>
      <c r="Z152" s="12" t="s">
        <v>41</v>
      </c>
      <c r="AA152" s="12" t="s">
        <v>625</v>
      </c>
      <c r="AB152" s="14" t="str">
        <f>MID(PEDIDOS[[#This Row],[Vencimento(s)]],1,10)</f>
        <v>11/02/2026</v>
      </c>
      <c r="AC152" s="14" t="str">
        <f>MID(PEDIDOS[[#This Row],[Vencimento(s)]],14,10)</f>
        <v/>
      </c>
      <c r="AD152" s="14" t="str">
        <f>MID(PEDIDOS[[#This Row],[Vencimento(s)]],27,10)</f>
        <v/>
      </c>
      <c r="AE152" s="12" t="str">
        <f>MID(PEDIDOS[[#This Row],[Vencimento(s)]],40,10)</f>
        <v/>
      </c>
      <c r="AF152" s="12" t="str">
        <f>MID(PEDIDOS[[#This Row],[Vencimento(s)]],53,10)</f>
        <v/>
      </c>
    </row>
    <row r="153" spans="1:32" x14ac:dyDescent="0.25">
      <c r="A153" s="8" t="str">
        <f>_xlfn.CONCAT("001/",PEDIDOS[[#This Row],[Nota Fiscal]])</f>
        <v>001/000022967</v>
      </c>
      <c r="B153" s="8" t="str">
        <f>_xlfn.XLOOKUP(PEDIDOS[[#This Row],[NFS]],'[1]MOVIMENTAÇÃO DE ESTOQUE'!AA:AA,'[1]MOVIMENTAÇÃO DE ESTOQUE'!A:A,"NÃO",0,1)</f>
        <v>067004008</v>
      </c>
      <c r="C153" s="9">
        <f>IFERROR(SUM(PEDIDOS[[#This Row],[PRAZO 1]:[PRAZO 6]])/COUNT(PEDIDOS[[#This Row],[PRAZO 1]:[PRAZO 6]]),"VERIFICAR")</f>
        <v>85</v>
      </c>
      <c r="D153" s="9">
        <f>PEDIDOS[[#This Row],[PM]]/7</f>
        <v>12.142857142857142</v>
      </c>
      <c r="E153" s="10">
        <f>IF(PEDIDOS[[#This Row],[NUM DE SEMANA]]=4,0,_xlfn.XLOOKUP(PEDIDOS[[#This Row],[NUM DE SEMANA]],'[1]SEMANAS DE PAGAMENTO'!A:A,'[1]SEMANAS DE PAGAMENTO'!B:B,"VERIFICAR",-1))</f>
        <v>-4.0000000000000001E-3</v>
      </c>
      <c r="F153" s="11">
        <f t="shared" si="9"/>
        <v>85</v>
      </c>
      <c r="G153" s="11" t="str">
        <f t="shared" si="10"/>
        <v/>
      </c>
      <c r="H153" s="11" t="str">
        <f t="shared" si="10"/>
        <v/>
      </c>
      <c r="I153" s="11" t="str">
        <f t="shared" si="10"/>
        <v/>
      </c>
      <c r="J153" s="11" t="str">
        <f t="shared" si="10"/>
        <v/>
      </c>
      <c r="K153" s="11" t="str">
        <f t="shared" si="8"/>
        <v/>
      </c>
      <c r="L153" s="12" t="s">
        <v>626</v>
      </c>
      <c r="M153" s="12" t="s">
        <v>59</v>
      </c>
      <c r="N153" s="12" t="s">
        <v>627</v>
      </c>
      <c r="O153" s="12" t="s">
        <v>352</v>
      </c>
      <c r="P153" s="12" t="s">
        <v>38</v>
      </c>
      <c r="Q153" s="12" t="s">
        <v>353</v>
      </c>
      <c r="R153" s="13">
        <v>55635.069820965</v>
      </c>
      <c r="S153" s="13">
        <v>105070.5</v>
      </c>
      <c r="T153" s="13">
        <v>0</v>
      </c>
      <c r="U153" s="13">
        <v>0</v>
      </c>
      <c r="V153" s="13">
        <v>0</v>
      </c>
      <c r="W153" s="13">
        <v>0</v>
      </c>
      <c r="X153" s="12">
        <v>150</v>
      </c>
      <c r="Y153" s="12" t="s">
        <v>628</v>
      </c>
      <c r="Z153" s="12" t="s">
        <v>41</v>
      </c>
      <c r="AA153" s="12" t="s">
        <v>355</v>
      </c>
      <c r="AB153" s="14" t="str">
        <f>MID(PEDIDOS[[#This Row],[Vencimento(s)]],1,10)</f>
        <v>31/03/2026</v>
      </c>
      <c r="AC153" s="14" t="str">
        <f>MID(PEDIDOS[[#This Row],[Vencimento(s)]],14,10)</f>
        <v/>
      </c>
      <c r="AD153" s="14" t="str">
        <f>MID(PEDIDOS[[#This Row],[Vencimento(s)]],27,10)</f>
        <v/>
      </c>
      <c r="AE153" s="12" t="str">
        <f>MID(PEDIDOS[[#This Row],[Vencimento(s)]],40,10)</f>
        <v/>
      </c>
      <c r="AF153" s="12" t="str">
        <f>MID(PEDIDOS[[#This Row],[Vencimento(s)]],53,10)</f>
        <v/>
      </c>
    </row>
    <row r="154" spans="1:32" x14ac:dyDescent="0.25">
      <c r="A154" s="8" t="str">
        <f>_xlfn.CONCAT("001/",PEDIDOS[[#This Row],[Nota Fiscal]])</f>
        <v>001/000023026</v>
      </c>
      <c r="B154" s="8" t="str">
        <f>_xlfn.XLOOKUP(PEDIDOS[[#This Row],[NFS]],'[1]MOVIMENTAÇÃO DE ESTOQUE'!AA:AA,'[1]MOVIMENTAÇÃO DE ESTOQUE'!A:A,"NÃO",0,1)</f>
        <v>065003007</v>
      </c>
      <c r="C154" s="9">
        <f>IFERROR(SUM(PEDIDOS[[#This Row],[PRAZO 1]:[PRAZO 6]])/COUNT(PEDIDOS[[#This Row],[PRAZO 1]:[PRAZO 6]]),"VERIFICAR")</f>
        <v>31.5</v>
      </c>
      <c r="D154" s="9">
        <f>PEDIDOS[[#This Row],[PM]]/7</f>
        <v>4.5</v>
      </c>
      <c r="E154" s="10">
        <f>IF(PEDIDOS[[#This Row],[NUM DE SEMANA]]=4,0,_xlfn.XLOOKUP(PEDIDOS[[#This Row],[NUM DE SEMANA]],'[1]SEMANAS DE PAGAMENTO'!A:A,'[1]SEMANAS DE PAGAMENTO'!B:B,"VERIFICAR",-1))</f>
        <v>5.0000000000000001E-4</v>
      </c>
      <c r="F154" s="11">
        <f t="shared" si="9"/>
        <v>28</v>
      </c>
      <c r="G154" s="11">
        <f t="shared" si="10"/>
        <v>35</v>
      </c>
      <c r="H154" s="11" t="str">
        <f t="shared" si="10"/>
        <v/>
      </c>
      <c r="I154" s="11" t="str">
        <f t="shared" si="10"/>
        <v/>
      </c>
      <c r="J154" s="11" t="str">
        <f t="shared" si="10"/>
        <v/>
      </c>
      <c r="K154" s="11" t="str">
        <f t="shared" si="8"/>
        <v/>
      </c>
      <c r="L154" s="12" t="s">
        <v>629</v>
      </c>
      <c r="M154" s="12" t="s">
        <v>35</v>
      </c>
      <c r="N154" s="12" t="s">
        <v>630</v>
      </c>
      <c r="O154" s="12" t="s">
        <v>258</v>
      </c>
      <c r="P154" s="12" t="s">
        <v>38</v>
      </c>
      <c r="Q154" s="12" t="s">
        <v>39</v>
      </c>
      <c r="R154" s="13">
        <v>785.27833333340004</v>
      </c>
      <c r="S154" s="13">
        <v>5976.1</v>
      </c>
      <c r="T154" s="13">
        <v>0</v>
      </c>
      <c r="U154" s="13">
        <v>0</v>
      </c>
      <c r="V154" s="13">
        <v>0</v>
      </c>
      <c r="W154" s="13">
        <v>0</v>
      </c>
      <c r="X154" s="12">
        <v>2</v>
      </c>
      <c r="Y154" s="12" t="s">
        <v>631</v>
      </c>
      <c r="Z154" s="12" t="s">
        <v>41</v>
      </c>
      <c r="AA154" s="12" t="s">
        <v>632</v>
      </c>
      <c r="AB154" s="14" t="str">
        <f>MID(PEDIDOS[[#This Row],[Vencimento(s)]],1,10)</f>
        <v>04/02/2026</v>
      </c>
      <c r="AC154" s="14" t="str">
        <f>MID(PEDIDOS[[#This Row],[Vencimento(s)]],14,10)</f>
        <v>11/02/2026</v>
      </c>
      <c r="AD154" s="14" t="str">
        <f>MID(PEDIDOS[[#This Row],[Vencimento(s)]],27,10)</f>
        <v/>
      </c>
      <c r="AE154" s="12" t="str">
        <f>MID(PEDIDOS[[#This Row],[Vencimento(s)]],40,10)</f>
        <v/>
      </c>
      <c r="AF154" s="12" t="str">
        <f>MID(PEDIDOS[[#This Row],[Vencimento(s)]],53,10)</f>
        <v/>
      </c>
    </row>
    <row r="155" spans="1:32" x14ac:dyDescent="0.25">
      <c r="A155" s="8" t="str">
        <f>_xlfn.CONCAT("001/",PEDIDOS[[#This Row],[Nota Fiscal]])</f>
        <v>001/000023307</v>
      </c>
      <c r="B155" s="8" t="str">
        <f>_xlfn.XLOOKUP(PEDIDOS[[#This Row],[NFS]],'[1]MOVIMENTAÇÃO DE ESTOQUE'!AA:AA,'[1]MOVIMENTAÇÃO DE ESTOQUE'!A:A,"NÃO",0,1)</f>
        <v>002004012</v>
      </c>
      <c r="C155" s="9">
        <f>IFERROR(SUM(PEDIDOS[[#This Row],[PRAZO 1]:[PRAZO 6]])/COUNT(PEDIDOS[[#This Row],[PRAZO 1]:[PRAZO 6]]),"VERIFICAR")</f>
        <v>55</v>
      </c>
      <c r="D155" s="9">
        <f>PEDIDOS[[#This Row],[PM]]/7</f>
        <v>7.8571428571428568</v>
      </c>
      <c r="E155" s="10">
        <f>IF(PEDIDOS[[#This Row],[NUM DE SEMANA]]=4,0,_xlfn.XLOOKUP(PEDIDOS[[#This Row],[NUM DE SEMANA]],'[1]SEMANAS DE PAGAMENTO'!A:A,'[1]SEMANAS DE PAGAMENTO'!B:B,"VERIFICAR",-1))</f>
        <v>-1.5E-3</v>
      </c>
      <c r="F155" s="11">
        <f t="shared" si="9"/>
        <v>35</v>
      </c>
      <c r="G155" s="11">
        <f t="shared" si="10"/>
        <v>45</v>
      </c>
      <c r="H155" s="11">
        <f t="shared" si="10"/>
        <v>55</v>
      </c>
      <c r="I155" s="11">
        <f t="shared" si="10"/>
        <v>65</v>
      </c>
      <c r="J155" s="11">
        <f t="shared" si="10"/>
        <v>75</v>
      </c>
      <c r="K155" s="11" t="str">
        <f t="shared" si="8"/>
        <v/>
      </c>
      <c r="L155" s="12" t="s">
        <v>633</v>
      </c>
      <c r="M155" s="12" t="s">
        <v>35</v>
      </c>
      <c r="N155" s="12" t="s">
        <v>634</v>
      </c>
      <c r="O155" s="12" t="s">
        <v>37</v>
      </c>
      <c r="P155" s="12" t="s">
        <v>38</v>
      </c>
      <c r="Q155" s="12" t="s">
        <v>39</v>
      </c>
      <c r="R155" s="13">
        <v>6916.4283642219998</v>
      </c>
      <c r="S155" s="13">
        <v>21042.959999999999</v>
      </c>
      <c r="T155" s="13">
        <v>0</v>
      </c>
      <c r="U155" s="13">
        <v>0</v>
      </c>
      <c r="V155" s="13">
        <v>0</v>
      </c>
      <c r="W155" s="13">
        <v>0</v>
      </c>
      <c r="X155" s="12">
        <v>1</v>
      </c>
      <c r="Y155" s="12" t="s">
        <v>635</v>
      </c>
      <c r="Z155" s="12" t="s">
        <v>41</v>
      </c>
      <c r="AA155" s="12" t="s">
        <v>636</v>
      </c>
      <c r="AB155" s="14" t="str">
        <f>MID(PEDIDOS[[#This Row],[Vencimento(s)]],1,10)</f>
        <v>06/03/2026</v>
      </c>
      <c r="AC155" s="14" t="str">
        <f>MID(PEDIDOS[[#This Row],[Vencimento(s)]],14,10)</f>
        <v>16/03/2026</v>
      </c>
      <c r="AD155" s="14" t="str">
        <f>MID(PEDIDOS[[#This Row],[Vencimento(s)]],27,10)</f>
        <v>26/03/2026</v>
      </c>
      <c r="AE155" s="12" t="str">
        <f>MID(PEDIDOS[[#This Row],[Vencimento(s)]],40,10)</f>
        <v>05/04/2026</v>
      </c>
      <c r="AF155" s="12" t="str">
        <f>MID(PEDIDOS[[#This Row],[Vencimento(s)]],53,10)</f>
        <v>15/04/2026</v>
      </c>
    </row>
    <row r="156" spans="1:32" x14ac:dyDescent="0.25">
      <c r="A156" s="8" t="str">
        <f>_xlfn.CONCAT("001/",PEDIDOS[[#This Row],[Nota Fiscal]])</f>
        <v>001/000023107</v>
      </c>
      <c r="B156" s="8" t="str">
        <f>_xlfn.XLOOKUP(PEDIDOS[[#This Row],[NFS]],'[1]MOVIMENTAÇÃO DE ESTOQUE'!AA:AA,'[1]MOVIMENTAÇÃO DE ESTOQUE'!A:A,"NÃO",0,1)</f>
        <v>031004013</v>
      </c>
      <c r="C156" s="9">
        <f>IFERROR(SUM(PEDIDOS[[#This Row],[PRAZO 1]:[PRAZO 6]])/COUNT(PEDIDOS[[#This Row],[PRAZO 1]:[PRAZO 6]]),"VERIFICAR")</f>
        <v>45</v>
      </c>
      <c r="D156" s="9">
        <f>PEDIDOS[[#This Row],[PM]]/7</f>
        <v>6.4285714285714288</v>
      </c>
      <c r="E156" s="10">
        <f>IF(PEDIDOS[[#This Row],[NUM DE SEMANA]]=4,0,_xlfn.XLOOKUP(PEDIDOS[[#This Row],[NUM DE SEMANA]],'[1]SEMANAS DE PAGAMENTO'!A:A,'[1]SEMANAS DE PAGAMENTO'!B:B,"VERIFICAR",-1))</f>
        <v>-1E-3</v>
      </c>
      <c r="F156" s="11">
        <f t="shared" si="9"/>
        <v>45</v>
      </c>
      <c r="G156" s="11" t="str">
        <f t="shared" si="10"/>
        <v/>
      </c>
      <c r="H156" s="11" t="str">
        <f t="shared" si="10"/>
        <v/>
      </c>
      <c r="I156" s="11" t="str">
        <f t="shared" si="10"/>
        <v/>
      </c>
      <c r="J156" s="11" t="str">
        <f t="shared" si="10"/>
        <v/>
      </c>
      <c r="K156" s="11" t="str">
        <f t="shared" si="8"/>
        <v/>
      </c>
      <c r="L156" s="12" t="s">
        <v>637</v>
      </c>
      <c r="M156" s="12" t="s">
        <v>59</v>
      </c>
      <c r="N156" s="12" t="s">
        <v>638</v>
      </c>
      <c r="O156" s="12" t="s">
        <v>190</v>
      </c>
      <c r="P156" s="12" t="s">
        <v>45</v>
      </c>
      <c r="Q156" s="12" t="s">
        <v>385</v>
      </c>
      <c r="R156" s="13">
        <v>6302.9494951220004</v>
      </c>
      <c r="S156" s="13">
        <v>14753.49</v>
      </c>
      <c r="T156" s="13">
        <v>0</v>
      </c>
      <c r="U156" s="13">
        <v>0</v>
      </c>
      <c r="V156" s="13">
        <v>0</v>
      </c>
      <c r="W156" s="13">
        <v>0</v>
      </c>
      <c r="X156" s="12">
        <v>5</v>
      </c>
      <c r="Y156" s="12" t="s">
        <v>639</v>
      </c>
      <c r="Z156" s="12" t="s">
        <v>177</v>
      </c>
      <c r="AA156" s="12" t="s">
        <v>423</v>
      </c>
      <c r="AB156" s="14" t="str">
        <f>MID(PEDIDOS[[#This Row],[Vencimento(s)]],1,10)</f>
        <v>01/03/2026</v>
      </c>
      <c r="AC156" s="14" t="str">
        <f>MID(PEDIDOS[[#This Row],[Vencimento(s)]],14,10)</f>
        <v/>
      </c>
      <c r="AD156" s="14" t="str">
        <f>MID(PEDIDOS[[#This Row],[Vencimento(s)]],27,10)</f>
        <v/>
      </c>
      <c r="AE156" s="12" t="str">
        <f>MID(PEDIDOS[[#This Row],[Vencimento(s)]],40,10)</f>
        <v/>
      </c>
      <c r="AF156" s="12" t="str">
        <f>MID(PEDIDOS[[#This Row],[Vencimento(s)]],53,10)</f>
        <v/>
      </c>
    </row>
    <row r="157" spans="1:32" x14ac:dyDescent="0.25">
      <c r="A157" s="8" t="str">
        <f>_xlfn.CONCAT("001/",PEDIDOS[[#This Row],[Nota Fiscal]])</f>
        <v>001/000023283</v>
      </c>
      <c r="B157" s="8" t="str">
        <f>_xlfn.XLOOKUP(PEDIDOS[[#This Row],[NFS]],'[1]MOVIMENTAÇÃO DE ESTOQUE'!AA:AA,'[1]MOVIMENTAÇÃO DE ESTOQUE'!A:A,"NÃO",0,1)</f>
        <v>090004003</v>
      </c>
      <c r="C157" s="9">
        <f>IFERROR(SUM(PEDIDOS[[#This Row],[PRAZO 1]:[PRAZO 6]])/COUNT(PEDIDOS[[#This Row],[PRAZO 1]:[PRAZO 6]]),"VERIFICAR")</f>
        <v>35</v>
      </c>
      <c r="D157" s="9">
        <f>PEDIDOS[[#This Row],[PM]]/7</f>
        <v>5</v>
      </c>
      <c r="E157" s="10">
        <f>IF(PEDIDOS[[#This Row],[NUM DE SEMANA]]=4,0,_xlfn.XLOOKUP(PEDIDOS[[#This Row],[NUM DE SEMANA]],'[1]SEMANAS DE PAGAMENTO'!A:A,'[1]SEMANAS DE PAGAMENTO'!B:B,"VERIFICAR",-1))</f>
        <v>-5.0000000000000001E-4</v>
      </c>
      <c r="F157" s="11">
        <f t="shared" si="9"/>
        <v>28</v>
      </c>
      <c r="G157" s="11">
        <f t="shared" si="10"/>
        <v>35</v>
      </c>
      <c r="H157" s="11">
        <f t="shared" si="10"/>
        <v>42</v>
      </c>
      <c r="I157" s="11" t="str">
        <f t="shared" si="10"/>
        <v/>
      </c>
      <c r="J157" s="11" t="str">
        <f t="shared" si="10"/>
        <v/>
      </c>
      <c r="K157" s="11" t="str">
        <f t="shared" si="8"/>
        <v/>
      </c>
      <c r="L157" s="12" t="s">
        <v>640</v>
      </c>
      <c r="M157" s="12" t="s">
        <v>35</v>
      </c>
      <c r="N157" s="12" t="s">
        <v>641</v>
      </c>
      <c r="O157" s="12" t="s">
        <v>139</v>
      </c>
      <c r="P157" s="12" t="s">
        <v>61</v>
      </c>
      <c r="Q157" s="12" t="s">
        <v>105</v>
      </c>
      <c r="R157" s="13">
        <v>2222.1244268292999</v>
      </c>
      <c r="S157" s="13">
        <v>10292.879999999999</v>
      </c>
      <c r="T157" s="13">
        <v>0</v>
      </c>
      <c r="U157" s="13">
        <v>0</v>
      </c>
      <c r="V157" s="13">
        <v>0</v>
      </c>
      <c r="W157" s="13">
        <v>0</v>
      </c>
      <c r="X157" s="12">
        <v>2</v>
      </c>
      <c r="Y157" s="12" t="s">
        <v>63</v>
      </c>
      <c r="Z157" s="12" t="s">
        <v>48</v>
      </c>
      <c r="AA157" s="12" t="s">
        <v>377</v>
      </c>
      <c r="AB157" s="14" t="str">
        <f>MID(PEDIDOS[[#This Row],[Vencimento(s)]],1,10)</f>
        <v>25/02/2026</v>
      </c>
      <c r="AC157" s="14" t="str">
        <f>MID(PEDIDOS[[#This Row],[Vencimento(s)]],14,10)</f>
        <v>04/03/2026</v>
      </c>
      <c r="AD157" s="14" t="str">
        <f>MID(PEDIDOS[[#This Row],[Vencimento(s)]],27,10)</f>
        <v>11/03/2026</v>
      </c>
      <c r="AE157" s="12" t="str">
        <f>MID(PEDIDOS[[#This Row],[Vencimento(s)]],40,10)</f>
        <v/>
      </c>
      <c r="AF157" s="12" t="str">
        <f>MID(PEDIDOS[[#This Row],[Vencimento(s)]],53,10)</f>
        <v/>
      </c>
    </row>
    <row r="158" spans="1:32" x14ac:dyDescent="0.25">
      <c r="A158" s="8" t="str">
        <f>_xlfn.CONCAT("001/",PEDIDOS[[#This Row],[Nota Fiscal]])</f>
        <v>001/000023106</v>
      </c>
      <c r="B158" s="8" t="str">
        <f>_xlfn.XLOOKUP(PEDIDOS[[#This Row],[NFS]],'[1]MOVIMENTAÇÃO DE ESTOQUE'!AA:AA,'[1]MOVIMENTAÇÃO DE ESTOQUE'!A:A,"NÃO",0,1)</f>
        <v>066004001</v>
      </c>
      <c r="C158" s="9">
        <f>IFERROR(SUM(PEDIDOS[[#This Row],[PRAZO 1]:[PRAZO 6]])/COUNT(PEDIDOS[[#This Row],[PRAZO 1]:[PRAZO 6]]),"VERIFICAR")</f>
        <v>45</v>
      </c>
      <c r="D158" s="9">
        <f>PEDIDOS[[#This Row],[PM]]/7</f>
        <v>6.4285714285714288</v>
      </c>
      <c r="E158" s="10">
        <f>IF(PEDIDOS[[#This Row],[NUM DE SEMANA]]=4,0,_xlfn.XLOOKUP(PEDIDOS[[#This Row],[NUM DE SEMANA]],'[1]SEMANAS DE PAGAMENTO'!A:A,'[1]SEMANAS DE PAGAMENTO'!B:B,"VERIFICAR",-1))</f>
        <v>-1E-3</v>
      </c>
      <c r="F158" s="11">
        <f t="shared" si="9"/>
        <v>45</v>
      </c>
      <c r="G158" s="11" t="str">
        <f t="shared" si="10"/>
        <v/>
      </c>
      <c r="H158" s="11" t="str">
        <f t="shared" si="10"/>
        <v/>
      </c>
      <c r="I158" s="11" t="str">
        <f t="shared" si="10"/>
        <v/>
      </c>
      <c r="J158" s="11" t="str">
        <f t="shared" si="10"/>
        <v/>
      </c>
      <c r="K158" s="11" t="str">
        <f t="shared" si="8"/>
        <v/>
      </c>
      <c r="L158" s="12" t="s">
        <v>642</v>
      </c>
      <c r="M158" s="12" t="s">
        <v>59</v>
      </c>
      <c r="N158" s="12" t="s">
        <v>643</v>
      </c>
      <c r="O158" s="12" t="s">
        <v>190</v>
      </c>
      <c r="P158" s="12" t="s">
        <v>45</v>
      </c>
      <c r="Q158" s="12" t="s">
        <v>385</v>
      </c>
      <c r="R158" s="13">
        <v>12816.864340714201</v>
      </c>
      <c r="S158" s="13">
        <v>34186.11</v>
      </c>
      <c r="T158" s="13">
        <v>0</v>
      </c>
      <c r="U158" s="13">
        <v>0</v>
      </c>
      <c r="V158" s="13">
        <v>0</v>
      </c>
      <c r="W158" s="13">
        <v>0</v>
      </c>
      <c r="X158" s="12">
        <v>6</v>
      </c>
      <c r="Y158" s="12" t="s">
        <v>644</v>
      </c>
      <c r="Z158" s="12" t="s">
        <v>177</v>
      </c>
      <c r="AA158" s="12" t="s">
        <v>423</v>
      </c>
      <c r="AB158" s="14" t="str">
        <f>MID(PEDIDOS[[#This Row],[Vencimento(s)]],1,10)</f>
        <v>01/03/2026</v>
      </c>
      <c r="AC158" s="14" t="str">
        <f>MID(PEDIDOS[[#This Row],[Vencimento(s)]],14,10)</f>
        <v/>
      </c>
      <c r="AD158" s="14" t="str">
        <f>MID(PEDIDOS[[#This Row],[Vencimento(s)]],27,10)</f>
        <v/>
      </c>
      <c r="AE158" s="12" t="str">
        <f>MID(PEDIDOS[[#This Row],[Vencimento(s)]],40,10)</f>
        <v/>
      </c>
      <c r="AF158" s="12" t="str">
        <f>MID(PEDIDOS[[#This Row],[Vencimento(s)]],53,10)</f>
        <v/>
      </c>
    </row>
    <row r="159" spans="1:32" x14ac:dyDescent="0.25">
      <c r="A159" s="8" t="str">
        <f>_xlfn.CONCAT("001/",PEDIDOS[[#This Row],[Nota Fiscal]])</f>
        <v>001/000022965</v>
      </c>
      <c r="B159" s="8" t="str">
        <f>_xlfn.XLOOKUP(PEDIDOS[[#This Row],[NFS]],'[1]MOVIMENTAÇÃO DE ESTOQUE'!AA:AA,'[1]MOVIMENTAÇÃO DE ESTOQUE'!A:A,"NÃO",0,1)</f>
        <v>008008003</v>
      </c>
      <c r="C159" s="9">
        <f>IFERROR(SUM(PEDIDOS[[#This Row],[PRAZO 1]:[PRAZO 6]])/COUNT(PEDIDOS[[#This Row],[PRAZO 1]:[PRAZO 6]]),"VERIFICAR")</f>
        <v>91</v>
      </c>
      <c r="D159" s="9">
        <f>PEDIDOS[[#This Row],[PM]]/7</f>
        <v>13</v>
      </c>
      <c r="E159" s="10">
        <f>IF(PEDIDOS[[#This Row],[NUM DE SEMANA]]=4,0,_xlfn.XLOOKUP(PEDIDOS[[#This Row],[NUM DE SEMANA]],'[1]SEMANAS DE PAGAMENTO'!A:A,'[1]SEMANAS DE PAGAMENTO'!B:B,"VERIFICAR",-1))</f>
        <v>-4.5000000000000005E-3</v>
      </c>
      <c r="F159" s="11">
        <f t="shared" si="9"/>
        <v>91</v>
      </c>
      <c r="G159" s="11" t="str">
        <f t="shared" si="10"/>
        <v/>
      </c>
      <c r="H159" s="11" t="str">
        <f t="shared" si="10"/>
        <v/>
      </c>
      <c r="I159" s="11" t="str">
        <f t="shared" si="10"/>
        <v/>
      </c>
      <c r="J159" s="11" t="str">
        <f t="shared" si="10"/>
        <v/>
      </c>
      <c r="K159" s="11" t="str">
        <f t="shared" si="8"/>
        <v/>
      </c>
      <c r="L159" s="12" t="s">
        <v>645</v>
      </c>
      <c r="M159" s="12" t="s">
        <v>35</v>
      </c>
      <c r="N159" s="12" t="s">
        <v>646</v>
      </c>
      <c r="O159" s="12" t="s">
        <v>352</v>
      </c>
      <c r="P159" s="12" t="s">
        <v>45</v>
      </c>
      <c r="Q159" s="12" t="s">
        <v>484</v>
      </c>
      <c r="R159" s="13">
        <v>208644.14178003999</v>
      </c>
      <c r="S159" s="13">
        <v>499612</v>
      </c>
      <c r="T159" s="13">
        <v>0</v>
      </c>
      <c r="U159" s="13">
        <v>0</v>
      </c>
      <c r="V159" s="13">
        <v>0</v>
      </c>
      <c r="W159" s="13">
        <v>0</v>
      </c>
      <c r="X159" s="12">
        <v>400</v>
      </c>
      <c r="Y159" s="12" t="s">
        <v>647</v>
      </c>
      <c r="Z159" s="12" t="s">
        <v>41</v>
      </c>
      <c r="AA159" s="12" t="s">
        <v>562</v>
      </c>
      <c r="AB159" s="14" t="str">
        <f>MID(PEDIDOS[[#This Row],[Vencimento(s)]],1,10)</f>
        <v>06/04/2026</v>
      </c>
      <c r="AC159" s="14" t="str">
        <f>MID(PEDIDOS[[#This Row],[Vencimento(s)]],14,10)</f>
        <v/>
      </c>
      <c r="AD159" s="14" t="str">
        <f>MID(PEDIDOS[[#This Row],[Vencimento(s)]],27,10)</f>
        <v/>
      </c>
      <c r="AE159" s="12" t="str">
        <f>MID(PEDIDOS[[#This Row],[Vencimento(s)]],40,10)</f>
        <v/>
      </c>
      <c r="AF159" s="12" t="str">
        <f>MID(PEDIDOS[[#This Row],[Vencimento(s)]],53,10)</f>
        <v/>
      </c>
    </row>
    <row r="160" spans="1:32" x14ac:dyDescent="0.25">
      <c r="A160" s="8" t="str">
        <f>_xlfn.CONCAT("001/",PEDIDOS[[#This Row],[Nota Fiscal]])</f>
        <v>001/000023187</v>
      </c>
      <c r="B160" s="8" t="str">
        <f>_xlfn.XLOOKUP(PEDIDOS[[#This Row],[NFS]],'[1]MOVIMENTAÇÃO DE ESTOQUE'!AA:AA,'[1]MOVIMENTAÇÃO DE ESTOQUE'!A:A,"NÃO",0,1)</f>
        <v>067004034</v>
      </c>
      <c r="C160" s="9">
        <f>IFERROR(SUM(PEDIDOS[[#This Row],[PRAZO 1]:[PRAZO 6]])/COUNT(PEDIDOS[[#This Row],[PRAZO 1]:[PRAZO 6]]),"VERIFICAR")</f>
        <v>28</v>
      </c>
      <c r="D160" s="9">
        <f>PEDIDOS[[#This Row],[PM]]/7</f>
        <v>4</v>
      </c>
      <c r="E160" s="10">
        <f>IF(PEDIDOS[[#This Row],[NUM DE SEMANA]]=4,0,_xlfn.XLOOKUP(PEDIDOS[[#This Row],[NUM DE SEMANA]],'[1]SEMANAS DE PAGAMENTO'!A:A,'[1]SEMANAS DE PAGAMENTO'!B:B,"VERIFICAR",-1))</f>
        <v>0</v>
      </c>
      <c r="F160" s="11">
        <f t="shared" si="9"/>
        <v>21</v>
      </c>
      <c r="G160" s="11">
        <f t="shared" si="10"/>
        <v>28</v>
      </c>
      <c r="H160" s="11">
        <f t="shared" si="10"/>
        <v>35</v>
      </c>
      <c r="I160" s="11" t="str">
        <f t="shared" si="10"/>
        <v/>
      </c>
      <c r="J160" s="11" t="str">
        <f t="shared" si="10"/>
        <v/>
      </c>
      <c r="K160" s="11" t="str">
        <f t="shared" si="8"/>
        <v/>
      </c>
      <c r="L160" s="12" t="s">
        <v>648</v>
      </c>
      <c r="M160" s="12" t="s">
        <v>59</v>
      </c>
      <c r="N160" s="12" t="s">
        <v>649</v>
      </c>
      <c r="O160" s="12" t="s">
        <v>119</v>
      </c>
      <c r="P160" s="12" t="s">
        <v>54</v>
      </c>
      <c r="Q160" s="12" t="s">
        <v>210</v>
      </c>
      <c r="R160" s="13">
        <v>15597.828374320001</v>
      </c>
      <c r="S160" s="13">
        <v>32593</v>
      </c>
      <c r="T160" s="13">
        <v>0</v>
      </c>
      <c r="U160" s="13">
        <v>0</v>
      </c>
      <c r="V160" s="13">
        <v>0</v>
      </c>
      <c r="W160" s="13">
        <v>0</v>
      </c>
      <c r="X160" s="12">
        <v>275</v>
      </c>
      <c r="Y160" s="12" t="s">
        <v>650</v>
      </c>
      <c r="Z160" s="12" t="s">
        <v>48</v>
      </c>
      <c r="AA160" s="12" t="s">
        <v>57</v>
      </c>
      <c r="AB160" s="14" t="str">
        <f>MID(PEDIDOS[[#This Row],[Vencimento(s)]],1,10)</f>
        <v>10/02/2026</v>
      </c>
      <c r="AC160" s="14" t="str">
        <f>MID(PEDIDOS[[#This Row],[Vencimento(s)]],14,10)</f>
        <v>17/02/2026</v>
      </c>
      <c r="AD160" s="14" t="str">
        <f>MID(PEDIDOS[[#This Row],[Vencimento(s)]],27,10)</f>
        <v>24/02/2026</v>
      </c>
      <c r="AE160" s="12" t="str">
        <f>MID(PEDIDOS[[#This Row],[Vencimento(s)]],40,10)</f>
        <v/>
      </c>
      <c r="AF160" s="12" t="str">
        <f>MID(PEDIDOS[[#This Row],[Vencimento(s)]],53,10)</f>
        <v/>
      </c>
    </row>
    <row r="161" spans="1:32" x14ac:dyDescent="0.25">
      <c r="A161" s="8" t="str">
        <f>_xlfn.CONCAT("001/",PEDIDOS[[#This Row],[Nota Fiscal]])</f>
        <v>001/000023141</v>
      </c>
      <c r="B161" s="8" t="str">
        <f>_xlfn.XLOOKUP(PEDIDOS[[#This Row],[NFS]],'[1]MOVIMENTAÇÃO DE ESTOQUE'!AA:AA,'[1]MOVIMENTAÇÃO DE ESTOQUE'!A:A,"NÃO",0,1)</f>
        <v>030004008</v>
      </c>
      <c r="C161" s="9">
        <f>IFERROR(SUM(PEDIDOS[[#This Row],[PRAZO 1]:[PRAZO 6]])/COUNT(PEDIDOS[[#This Row],[PRAZO 1]:[PRAZO 6]]),"VERIFICAR")</f>
        <v>46</v>
      </c>
      <c r="D161" s="9">
        <f>PEDIDOS[[#This Row],[PM]]/7</f>
        <v>6.5714285714285712</v>
      </c>
      <c r="E161" s="10">
        <f>IF(PEDIDOS[[#This Row],[NUM DE SEMANA]]=4,0,_xlfn.XLOOKUP(PEDIDOS[[#This Row],[NUM DE SEMANA]],'[1]SEMANAS DE PAGAMENTO'!A:A,'[1]SEMANAS DE PAGAMENTO'!B:B,"VERIFICAR",-1))</f>
        <v>-1E-3</v>
      </c>
      <c r="F161" s="11">
        <f t="shared" si="9"/>
        <v>46</v>
      </c>
      <c r="G161" s="11" t="str">
        <f t="shared" si="10"/>
        <v/>
      </c>
      <c r="H161" s="11" t="str">
        <f t="shared" si="10"/>
        <v/>
      </c>
      <c r="I161" s="11" t="str">
        <f t="shared" si="10"/>
        <v/>
      </c>
      <c r="J161" s="11" t="str">
        <f t="shared" si="10"/>
        <v/>
      </c>
      <c r="K161" s="11" t="str">
        <f t="shared" si="8"/>
        <v/>
      </c>
      <c r="L161" s="12" t="s">
        <v>651</v>
      </c>
      <c r="M161" s="12" t="s">
        <v>59</v>
      </c>
      <c r="N161" s="12" t="s">
        <v>652</v>
      </c>
      <c r="O161" s="12" t="s">
        <v>149</v>
      </c>
      <c r="P161" s="12" t="s">
        <v>45</v>
      </c>
      <c r="Q161" s="12" t="s">
        <v>556</v>
      </c>
      <c r="R161" s="13">
        <v>41189.409352189999</v>
      </c>
      <c r="S161" s="13">
        <v>195208</v>
      </c>
      <c r="T161" s="13">
        <v>0</v>
      </c>
      <c r="U161" s="13">
        <v>0</v>
      </c>
      <c r="V161" s="13">
        <v>0</v>
      </c>
      <c r="W161" s="13">
        <v>0</v>
      </c>
      <c r="X161" s="12">
        <v>100</v>
      </c>
      <c r="Y161" s="12" t="s">
        <v>653</v>
      </c>
      <c r="Z161" s="12" t="s">
        <v>41</v>
      </c>
      <c r="AA161" s="12" t="s">
        <v>608</v>
      </c>
      <c r="AB161" s="14" t="str">
        <f>MID(PEDIDOS[[#This Row],[Vencimento(s)]],1,10)</f>
        <v>06/03/2026</v>
      </c>
      <c r="AC161" s="14" t="str">
        <f>MID(PEDIDOS[[#This Row],[Vencimento(s)]],14,10)</f>
        <v/>
      </c>
      <c r="AD161" s="14" t="str">
        <f>MID(PEDIDOS[[#This Row],[Vencimento(s)]],27,10)</f>
        <v/>
      </c>
      <c r="AE161" s="12" t="str">
        <f>MID(PEDIDOS[[#This Row],[Vencimento(s)]],40,10)</f>
        <v/>
      </c>
      <c r="AF161" s="12" t="str">
        <f>MID(PEDIDOS[[#This Row],[Vencimento(s)]],53,10)</f>
        <v/>
      </c>
    </row>
    <row r="162" spans="1:32" x14ac:dyDescent="0.25">
      <c r="A162" s="8" t="str">
        <f>_xlfn.CONCAT("001/",PEDIDOS[[#This Row],[Nota Fiscal]])</f>
        <v>001/000022969</v>
      </c>
      <c r="B162" s="8" t="str">
        <f>_xlfn.XLOOKUP(PEDIDOS[[#This Row],[NFS]],'[1]MOVIMENTAÇÃO DE ESTOQUE'!AA:AA,'[1]MOVIMENTAÇÃO DE ESTOQUE'!A:A,"NÃO",0,1)</f>
        <v>001004043</v>
      </c>
      <c r="C162" s="9">
        <f>IFERROR(SUM(PEDIDOS[[#This Row],[PRAZO 1]:[PRAZO 6]])/COUNT(PEDIDOS[[#This Row],[PRAZO 1]:[PRAZO 6]]),"VERIFICAR")</f>
        <v>46</v>
      </c>
      <c r="D162" s="9">
        <f>PEDIDOS[[#This Row],[PM]]/7</f>
        <v>6.5714285714285712</v>
      </c>
      <c r="E162" s="10">
        <f>IF(PEDIDOS[[#This Row],[NUM DE SEMANA]]=4,0,_xlfn.XLOOKUP(PEDIDOS[[#This Row],[NUM DE SEMANA]],'[1]SEMANAS DE PAGAMENTO'!A:A,'[1]SEMANAS DE PAGAMENTO'!B:B,"VERIFICAR",-1))</f>
        <v>-1E-3</v>
      </c>
      <c r="F162" s="11">
        <f t="shared" si="9"/>
        <v>46</v>
      </c>
      <c r="G162" s="11" t="str">
        <f t="shared" si="10"/>
        <v/>
      </c>
      <c r="H162" s="11" t="str">
        <f t="shared" si="10"/>
        <v/>
      </c>
      <c r="I162" s="11" t="str">
        <f t="shared" si="10"/>
        <v/>
      </c>
      <c r="J162" s="11" t="str">
        <f t="shared" si="10"/>
        <v/>
      </c>
      <c r="K162" s="11" t="str">
        <f t="shared" si="8"/>
        <v/>
      </c>
      <c r="L162" s="12" t="s">
        <v>654</v>
      </c>
      <c r="M162" s="12" t="s">
        <v>59</v>
      </c>
      <c r="N162" s="12" t="s">
        <v>655</v>
      </c>
      <c r="O162" s="12" t="s">
        <v>352</v>
      </c>
      <c r="P162" s="12" t="s">
        <v>45</v>
      </c>
      <c r="Q162" s="12" t="s">
        <v>556</v>
      </c>
      <c r="R162" s="13">
        <v>10067.832976318999</v>
      </c>
      <c r="S162" s="13">
        <v>17407.8</v>
      </c>
      <c r="T162" s="13">
        <v>0</v>
      </c>
      <c r="U162" s="13">
        <v>0</v>
      </c>
      <c r="V162" s="13">
        <v>0</v>
      </c>
      <c r="W162" s="13">
        <v>0</v>
      </c>
      <c r="X162" s="12">
        <v>10</v>
      </c>
      <c r="Y162" s="12" t="s">
        <v>656</v>
      </c>
      <c r="Z162" s="12" t="s">
        <v>41</v>
      </c>
      <c r="AA162" s="12" t="s">
        <v>349</v>
      </c>
      <c r="AB162" s="14" t="str">
        <f>MID(PEDIDOS[[#This Row],[Vencimento(s)]],1,10)</f>
        <v>20/02/2026</v>
      </c>
      <c r="AC162" s="14" t="str">
        <f>MID(PEDIDOS[[#This Row],[Vencimento(s)]],14,10)</f>
        <v/>
      </c>
      <c r="AD162" s="14" t="str">
        <f>MID(PEDIDOS[[#This Row],[Vencimento(s)]],27,10)</f>
        <v/>
      </c>
      <c r="AE162" s="12" t="str">
        <f>MID(PEDIDOS[[#This Row],[Vencimento(s)]],40,10)</f>
        <v/>
      </c>
      <c r="AF162" s="12" t="str">
        <f>MID(PEDIDOS[[#This Row],[Vencimento(s)]],53,10)</f>
        <v/>
      </c>
    </row>
    <row r="163" spans="1:32" x14ac:dyDescent="0.25">
      <c r="A163" s="8" t="str">
        <f>_xlfn.CONCAT("001/",PEDIDOS[[#This Row],[Nota Fiscal]])</f>
        <v>001/000022988</v>
      </c>
      <c r="B163" s="8" t="str">
        <f>_xlfn.XLOOKUP(PEDIDOS[[#This Row],[NFS]],'[1]MOVIMENTAÇÃO DE ESTOQUE'!AA:AA,'[1]MOVIMENTAÇÃO DE ESTOQUE'!A:A,"NÃO",0,1)</f>
        <v>031004004</v>
      </c>
      <c r="C163" s="9">
        <f>IFERROR(SUM(PEDIDOS[[#This Row],[PRAZO 1]:[PRAZO 6]])/COUNT(PEDIDOS[[#This Row],[PRAZO 1]:[PRAZO 6]]),"VERIFICAR")</f>
        <v>35</v>
      </c>
      <c r="D163" s="9">
        <f>PEDIDOS[[#This Row],[PM]]/7</f>
        <v>5</v>
      </c>
      <c r="E163" s="10">
        <f>IF(PEDIDOS[[#This Row],[NUM DE SEMANA]]=4,0,_xlfn.XLOOKUP(PEDIDOS[[#This Row],[NUM DE SEMANA]],'[1]SEMANAS DE PAGAMENTO'!A:A,'[1]SEMANAS DE PAGAMENTO'!B:B,"VERIFICAR",-1))</f>
        <v>-5.0000000000000001E-4</v>
      </c>
      <c r="F163" s="11">
        <f t="shared" si="9"/>
        <v>28</v>
      </c>
      <c r="G163" s="11">
        <f t="shared" si="10"/>
        <v>35</v>
      </c>
      <c r="H163" s="11">
        <f t="shared" si="10"/>
        <v>42</v>
      </c>
      <c r="I163" s="11" t="str">
        <f t="shared" si="10"/>
        <v/>
      </c>
      <c r="J163" s="11" t="str">
        <f t="shared" si="10"/>
        <v/>
      </c>
      <c r="K163" s="11" t="str">
        <f t="shared" si="8"/>
        <v/>
      </c>
      <c r="L163" s="12" t="s">
        <v>657</v>
      </c>
      <c r="M163" s="12" t="s">
        <v>59</v>
      </c>
      <c r="N163" s="12" t="s">
        <v>658</v>
      </c>
      <c r="O163" s="12" t="s">
        <v>275</v>
      </c>
      <c r="P163" s="12" t="s">
        <v>111</v>
      </c>
      <c r="Q163" s="12" t="s">
        <v>659</v>
      </c>
      <c r="R163" s="13">
        <v>1944.8509952705999</v>
      </c>
      <c r="S163" s="13">
        <v>4219.59</v>
      </c>
      <c r="T163" s="13">
        <v>0</v>
      </c>
      <c r="U163" s="13">
        <v>0</v>
      </c>
      <c r="V163" s="13">
        <v>0</v>
      </c>
      <c r="W163" s="13">
        <v>0</v>
      </c>
      <c r="X163" s="12">
        <v>1</v>
      </c>
      <c r="Y163" s="12" t="s">
        <v>63</v>
      </c>
      <c r="Z163" s="12" t="s">
        <v>48</v>
      </c>
      <c r="AA163" s="12" t="s">
        <v>279</v>
      </c>
      <c r="AB163" s="14" t="str">
        <f>MID(PEDIDOS[[#This Row],[Vencimento(s)]],1,10)</f>
        <v>03/02/2026</v>
      </c>
      <c r="AC163" s="14" t="str">
        <f>MID(PEDIDOS[[#This Row],[Vencimento(s)]],14,10)</f>
        <v>10/02/2026</v>
      </c>
      <c r="AD163" s="14" t="str">
        <f>MID(PEDIDOS[[#This Row],[Vencimento(s)]],27,10)</f>
        <v>17/02/2026</v>
      </c>
      <c r="AE163" s="12" t="str">
        <f>MID(PEDIDOS[[#This Row],[Vencimento(s)]],40,10)</f>
        <v/>
      </c>
      <c r="AF163" s="12" t="str">
        <f>MID(PEDIDOS[[#This Row],[Vencimento(s)]],53,10)</f>
        <v/>
      </c>
    </row>
    <row r="164" spans="1:32" x14ac:dyDescent="0.25">
      <c r="A164" s="8" t="str">
        <f>_xlfn.CONCAT("001/",PEDIDOS[[#This Row],[Nota Fiscal]])</f>
        <v>001/000023085</v>
      </c>
      <c r="B164" s="8" t="str">
        <f>_xlfn.XLOOKUP(PEDIDOS[[#This Row],[NFS]],'[1]MOVIMENTAÇÃO DE ESTOQUE'!AA:AA,'[1]MOVIMENTAÇÃO DE ESTOQUE'!A:A,"NÃO",0,1)</f>
        <v>030004008</v>
      </c>
      <c r="C164" s="9">
        <f>IFERROR(SUM(PEDIDOS[[#This Row],[PRAZO 1]:[PRAZO 6]])/COUNT(PEDIDOS[[#This Row],[PRAZO 1]:[PRAZO 6]]),"VERIFICAR")</f>
        <v>45</v>
      </c>
      <c r="D164" s="9">
        <f>PEDIDOS[[#This Row],[PM]]/7</f>
        <v>6.4285714285714288</v>
      </c>
      <c r="E164" s="10">
        <f>IF(PEDIDOS[[#This Row],[NUM DE SEMANA]]=4,0,_xlfn.XLOOKUP(PEDIDOS[[#This Row],[NUM DE SEMANA]],'[1]SEMANAS DE PAGAMENTO'!A:A,'[1]SEMANAS DE PAGAMENTO'!B:B,"VERIFICAR",-1))</f>
        <v>-1E-3</v>
      </c>
      <c r="F164" s="11">
        <f t="shared" si="9"/>
        <v>45</v>
      </c>
      <c r="G164" s="11" t="str">
        <f t="shared" si="10"/>
        <v/>
      </c>
      <c r="H164" s="11" t="str">
        <f t="shared" si="10"/>
        <v/>
      </c>
      <c r="I164" s="11" t="str">
        <f t="shared" si="10"/>
        <v/>
      </c>
      <c r="J164" s="11" t="str">
        <f t="shared" si="10"/>
        <v/>
      </c>
      <c r="K164" s="11" t="str">
        <f t="shared" si="8"/>
        <v/>
      </c>
      <c r="L164" s="12" t="s">
        <v>660</v>
      </c>
      <c r="M164" s="12" t="s">
        <v>59</v>
      </c>
      <c r="N164" s="12" t="s">
        <v>661</v>
      </c>
      <c r="O164" s="12" t="s">
        <v>453</v>
      </c>
      <c r="P164" s="12" t="s">
        <v>45</v>
      </c>
      <c r="Q164" s="12" t="s">
        <v>556</v>
      </c>
      <c r="R164" s="13">
        <v>41189.409352189999</v>
      </c>
      <c r="S164" s="13">
        <v>195208</v>
      </c>
      <c r="T164" s="13">
        <v>0</v>
      </c>
      <c r="U164" s="13">
        <v>0</v>
      </c>
      <c r="V164" s="13">
        <v>0</v>
      </c>
      <c r="W164" s="13">
        <v>0</v>
      </c>
      <c r="X164" s="12">
        <v>100</v>
      </c>
      <c r="Y164" s="12" t="s">
        <v>662</v>
      </c>
      <c r="Z164" s="12" t="s">
        <v>41</v>
      </c>
      <c r="AA164" s="12" t="s">
        <v>558</v>
      </c>
      <c r="AB164" s="14" t="str">
        <f>MID(PEDIDOS[[#This Row],[Vencimento(s)]],1,10)</f>
        <v>27/02/2026</v>
      </c>
      <c r="AC164" s="14" t="str">
        <f>MID(PEDIDOS[[#This Row],[Vencimento(s)]],14,10)</f>
        <v/>
      </c>
      <c r="AD164" s="14" t="str">
        <f>MID(PEDIDOS[[#This Row],[Vencimento(s)]],27,10)</f>
        <v/>
      </c>
      <c r="AE164" s="12" t="str">
        <f>MID(PEDIDOS[[#This Row],[Vencimento(s)]],40,10)</f>
        <v/>
      </c>
      <c r="AF164" s="12" t="str">
        <f>MID(PEDIDOS[[#This Row],[Vencimento(s)]],53,10)</f>
        <v/>
      </c>
    </row>
    <row r="165" spans="1:32" x14ac:dyDescent="0.25">
      <c r="A165" s="8" t="str">
        <f>_xlfn.CONCAT("001/",PEDIDOS[[#This Row],[Nota Fiscal]])</f>
        <v>001/000023072</v>
      </c>
      <c r="B165" s="8" t="str">
        <f>_xlfn.XLOOKUP(PEDIDOS[[#This Row],[NFS]],'[1]MOVIMENTAÇÃO DE ESTOQUE'!AA:AA,'[1]MOVIMENTAÇÃO DE ESTOQUE'!A:A,"NÃO",0,1)</f>
        <v>026005001</v>
      </c>
      <c r="C165" s="9">
        <f>IFERROR(SUM(PEDIDOS[[#This Row],[PRAZO 1]:[PRAZO 6]])/COUNT(PEDIDOS[[#This Row],[PRAZO 1]:[PRAZO 6]]),"VERIFICAR")</f>
        <v>46</v>
      </c>
      <c r="D165" s="9">
        <f>PEDIDOS[[#This Row],[PM]]/7</f>
        <v>6.5714285714285712</v>
      </c>
      <c r="E165" s="10">
        <f>IF(PEDIDOS[[#This Row],[NUM DE SEMANA]]=4,0,_xlfn.XLOOKUP(PEDIDOS[[#This Row],[NUM DE SEMANA]],'[1]SEMANAS DE PAGAMENTO'!A:A,'[1]SEMANAS DE PAGAMENTO'!B:B,"VERIFICAR",-1))</f>
        <v>-1E-3</v>
      </c>
      <c r="F165" s="11">
        <f t="shared" si="9"/>
        <v>46</v>
      </c>
      <c r="G165" s="11" t="str">
        <f t="shared" si="10"/>
        <v/>
      </c>
      <c r="H165" s="11" t="str">
        <f t="shared" si="10"/>
        <v/>
      </c>
      <c r="I165" s="11" t="str">
        <f t="shared" si="10"/>
        <v/>
      </c>
      <c r="J165" s="11" t="str">
        <f t="shared" si="10"/>
        <v/>
      </c>
      <c r="K165" s="11" t="str">
        <f t="shared" si="8"/>
        <v/>
      </c>
      <c r="L165" s="12" t="s">
        <v>663</v>
      </c>
      <c r="M165" s="12" t="s">
        <v>59</v>
      </c>
      <c r="N165" s="12" t="s">
        <v>664</v>
      </c>
      <c r="O165" s="12" t="s">
        <v>268</v>
      </c>
      <c r="P165" s="12" t="s">
        <v>45</v>
      </c>
      <c r="Q165" s="12" t="s">
        <v>556</v>
      </c>
      <c r="R165" s="13">
        <v>24686.127930750001</v>
      </c>
      <c r="S165" s="13">
        <v>42924.75</v>
      </c>
      <c r="T165" s="13">
        <v>0</v>
      </c>
      <c r="U165" s="13">
        <v>0</v>
      </c>
      <c r="V165" s="13">
        <v>0</v>
      </c>
      <c r="W165" s="13">
        <v>0</v>
      </c>
      <c r="X165" s="12">
        <v>275</v>
      </c>
      <c r="Y165" s="12" t="s">
        <v>665</v>
      </c>
      <c r="Z165" s="12" t="s">
        <v>41</v>
      </c>
      <c r="AA165" s="12" t="s">
        <v>558</v>
      </c>
      <c r="AB165" s="14" t="str">
        <f>MID(PEDIDOS[[#This Row],[Vencimento(s)]],1,10)</f>
        <v>27/02/2026</v>
      </c>
      <c r="AC165" s="14" t="str">
        <f>MID(PEDIDOS[[#This Row],[Vencimento(s)]],14,10)</f>
        <v/>
      </c>
      <c r="AD165" s="14" t="str">
        <f>MID(PEDIDOS[[#This Row],[Vencimento(s)]],27,10)</f>
        <v/>
      </c>
      <c r="AE165" s="12" t="str">
        <f>MID(PEDIDOS[[#This Row],[Vencimento(s)]],40,10)</f>
        <v/>
      </c>
      <c r="AF165" s="12" t="str">
        <f>MID(PEDIDOS[[#This Row],[Vencimento(s)]],53,10)</f>
        <v/>
      </c>
    </row>
    <row r="166" spans="1:32" x14ac:dyDescent="0.25">
      <c r="A166" s="8" t="str">
        <f>_xlfn.CONCAT("001/",PEDIDOS[[#This Row],[Nota Fiscal]])</f>
        <v>001/000023104</v>
      </c>
      <c r="B166" s="8" t="str">
        <f>_xlfn.XLOOKUP(PEDIDOS[[#This Row],[NFS]],'[1]MOVIMENTAÇÃO DE ESTOQUE'!AA:AA,'[1]MOVIMENTAÇÃO DE ESTOQUE'!A:A,"NÃO",0,1)</f>
        <v>067004019</v>
      </c>
      <c r="C166" s="9">
        <f>IFERROR(SUM(PEDIDOS[[#This Row],[PRAZO 1]:[PRAZO 6]])/COUNT(PEDIDOS[[#This Row],[PRAZO 1]:[PRAZO 6]]),"VERIFICAR")</f>
        <v>45</v>
      </c>
      <c r="D166" s="9">
        <f>PEDIDOS[[#This Row],[PM]]/7</f>
        <v>6.4285714285714288</v>
      </c>
      <c r="E166" s="10">
        <f>IF(PEDIDOS[[#This Row],[NUM DE SEMANA]]=4,0,_xlfn.XLOOKUP(PEDIDOS[[#This Row],[NUM DE SEMANA]],'[1]SEMANAS DE PAGAMENTO'!A:A,'[1]SEMANAS DE PAGAMENTO'!B:B,"VERIFICAR",-1))</f>
        <v>-1E-3</v>
      </c>
      <c r="F166" s="11">
        <f t="shared" si="9"/>
        <v>45</v>
      </c>
      <c r="G166" s="11" t="str">
        <f t="shared" si="10"/>
        <v/>
      </c>
      <c r="H166" s="11" t="str">
        <f t="shared" si="10"/>
        <v/>
      </c>
      <c r="I166" s="11" t="str">
        <f t="shared" si="10"/>
        <v/>
      </c>
      <c r="J166" s="11" t="str">
        <f t="shared" si="10"/>
        <v/>
      </c>
      <c r="K166" s="11" t="str">
        <f t="shared" si="8"/>
        <v/>
      </c>
      <c r="L166" s="12" t="s">
        <v>666</v>
      </c>
      <c r="M166" s="12" t="s">
        <v>59</v>
      </c>
      <c r="N166" s="12" t="s">
        <v>667</v>
      </c>
      <c r="O166" s="12" t="s">
        <v>190</v>
      </c>
      <c r="P166" s="12" t="s">
        <v>45</v>
      </c>
      <c r="Q166" s="12" t="s">
        <v>385</v>
      </c>
      <c r="R166" s="13">
        <v>9291.1480576520407</v>
      </c>
      <c r="S166" s="13">
        <v>14694.89</v>
      </c>
      <c r="T166" s="13">
        <v>0</v>
      </c>
      <c r="U166" s="13">
        <v>0</v>
      </c>
      <c r="V166" s="13">
        <v>0</v>
      </c>
      <c r="W166" s="13">
        <v>0</v>
      </c>
      <c r="X166" s="12">
        <v>0.1</v>
      </c>
      <c r="Y166" s="12" t="s">
        <v>668</v>
      </c>
      <c r="Z166" s="12" t="s">
        <v>177</v>
      </c>
      <c r="AA166" s="12" t="s">
        <v>423</v>
      </c>
      <c r="AB166" s="14" t="str">
        <f>MID(PEDIDOS[[#This Row],[Vencimento(s)]],1,10)</f>
        <v>01/03/2026</v>
      </c>
      <c r="AC166" s="14" t="str">
        <f>MID(PEDIDOS[[#This Row],[Vencimento(s)]],14,10)</f>
        <v/>
      </c>
      <c r="AD166" s="14" t="str">
        <f>MID(PEDIDOS[[#This Row],[Vencimento(s)]],27,10)</f>
        <v/>
      </c>
      <c r="AE166" s="12" t="str">
        <f>MID(PEDIDOS[[#This Row],[Vencimento(s)]],40,10)</f>
        <v/>
      </c>
      <c r="AF166" s="12" t="str">
        <f>MID(PEDIDOS[[#This Row],[Vencimento(s)]],53,10)</f>
        <v/>
      </c>
    </row>
    <row r="167" spans="1:32" x14ac:dyDescent="0.25">
      <c r="A167" s="8" t="str">
        <f>_xlfn.CONCAT("001/",PEDIDOS[[#This Row],[Nota Fiscal]])</f>
        <v>001/000023071</v>
      </c>
      <c r="B167" s="8" t="str">
        <f>_xlfn.XLOOKUP(PEDIDOS[[#This Row],[NFS]],'[1]MOVIMENTAÇÃO DE ESTOQUE'!AA:AA,'[1]MOVIMENTAÇÃO DE ESTOQUE'!A:A,"NÃO",0,1)</f>
        <v>026005001</v>
      </c>
      <c r="C167" s="9">
        <f>IFERROR(SUM(PEDIDOS[[#This Row],[PRAZO 1]:[PRAZO 6]])/COUNT(PEDIDOS[[#This Row],[PRAZO 1]:[PRAZO 6]]),"VERIFICAR")</f>
        <v>46</v>
      </c>
      <c r="D167" s="9">
        <f>PEDIDOS[[#This Row],[PM]]/7</f>
        <v>6.5714285714285712</v>
      </c>
      <c r="E167" s="10">
        <f>IF(PEDIDOS[[#This Row],[NUM DE SEMANA]]=4,0,_xlfn.XLOOKUP(PEDIDOS[[#This Row],[NUM DE SEMANA]],'[1]SEMANAS DE PAGAMENTO'!A:A,'[1]SEMANAS DE PAGAMENTO'!B:B,"VERIFICAR",-1))</f>
        <v>-1E-3</v>
      </c>
      <c r="F167" s="11">
        <f t="shared" si="9"/>
        <v>46</v>
      </c>
      <c r="G167" s="11" t="str">
        <f t="shared" si="10"/>
        <v/>
      </c>
      <c r="H167" s="11" t="str">
        <f t="shared" si="10"/>
        <v/>
      </c>
      <c r="I167" s="11" t="str">
        <f t="shared" si="10"/>
        <v/>
      </c>
      <c r="J167" s="11" t="str">
        <f t="shared" si="10"/>
        <v/>
      </c>
      <c r="K167" s="11" t="str">
        <f t="shared" si="8"/>
        <v/>
      </c>
      <c r="L167" s="12" t="s">
        <v>669</v>
      </c>
      <c r="M167" s="12" t="s">
        <v>59</v>
      </c>
      <c r="N167" s="12" t="s">
        <v>670</v>
      </c>
      <c r="O167" s="12" t="s">
        <v>268</v>
      </c>
      <c r="P167" s="12" t="s">
        <v>45</v>
      </c>
      <c r="Q167" s="12" t="s">
        <v>584</v>
      </c>
      <c r="R167" s="13">
        <v>14811.676758449999</v>
      </c>
      <c r="S167" s="13">
        <v>25754.85</v>
      </c>
      <c r="T167" s="13">
        <v>0</v>
      </c>
      <c r="U167" s="13">
        <v>0</v>
      </c>
      <c r="V167" s="13">
        <v>0</v>
      </c>
      <c r="W167" s="13">
        <v>0</v>
      </c>
      <c r="X167" s="12">
        <v>165</v>
      </c>
      <c r="Y167" s="12" t="s">
        <v>671</v>
      </c>
      <c r="Z167" s="12" t="s">
        <v>41</v>
      </c>
      <c r="AA167" s="12" t="s">
        <v>558</v>
      </c>
      <c r="AB167" s="14" t="str">
        <f>MID(PEDIDOS[[#This Row],[Vencimento(s)]],1,10)</f>
        <v>27/02/2026</v>
      </c>
      <c r="AC167" s="14" t="str">
        <f>MID(PEDIDOS[[#This Row],[Vencimento(s)]],14,10)</f>
        <v/>
      </c>
      <c r="AD167" s="14" t="str">
        <f>MID(PEDIDOS[[#This Row],[Vencimento(s)]],27,10)</f>
        <v/>
      </c>
      <c r="AE167" s="12" t="str">
        <f>MID(PEDIDOS[[#This Row],[Vencimento(s)]],40,10)</f>
        <v/>
      </c>
      <c r="AF167" s="12" t="str">
        <f>MID(PEDIDOS[[#This Row],[Vencimento(s)]],53,10)</f>
        <v/>
      </c>
    </row>
    <row r="168" spans="1:32" x14ac:dyDescent="0.25">
      <c r="A168" s="8" t="str">
        <f>_xlfn.CONCAT("001/",PEDIDOS[[#This Row],[Nota Fiscal]])</f>
        <v>001/000022968</v>
      </c>
      <c r="B168" s="8" t="str">
        <f>_xlfn.XLOOKUP(PEDIDOS[[#This Row],[NFS]],'[1]MOVIMENTAÇÃO DE ESTOQUE'!AA:AA,'[1]MOVIMENTAÇÃO DE ESTOQUE'!A:A,"NÃO",0,1)</f>
        <v>067004004</v>
      </c>
      <c r="C168" s="9">
        <f>IFERROR(SUM(PEDIDOS[[#This Row],[PRAZO 1]:[PRAZO 6]])/COUNT(PEDIDOS[[#This Row],[PRAZO 1]:[PRAZO 6]]),"VERIFICAR")</f>
        <v>46</v>
      </c>
      <c r="D168" s="9">
        <f>PEDIDOS[[#This Row],[PM]]/7</f>
        <v>6.5714285714285712</v>
      </c>
      <c r="E168" s="10">
        <f>IF(PEDIDOS[[#This Row],[NUM DE SEMANA]]=4,0,_xlfn.XLOOKUP(PEDIDOS[[#This Row],[NUM DE SEMANA]],'[1]SEMANAS DE PAGAMENTO'!A:A,'[1]SEMANAS DE PAGAMENTO'!B:B,"VERIFICAR",-1))</f>
        <v>-1E-3</v>
      </c>
      <c r="F168" s="11">
        <f t="shared" si="9"/>
        <v>46</v>
      </c>
      <c r="G168" s="11" t="str">
        <f t="shared" si="10"/>
        <v/>
      </c>
      <c r="H168" s="11" t="str">
        <f t="shared" si="10"/>
        <v/>
      </c>
      <c r="I168" s="11" t="str">
        <f t="shared" si="10"/>
        <v/>
      </c>
      <c r="J168" s="11" t="str">
        <f t="shared" si="10"/>
        <v/>
      </c>
      <c r="K168" s="11" t="str">
        <f t="shared" si="8"/>
        <v/>
      </c>
      <c r="L168" s="12" t="s">
        <v>672</v>
      </c>
      <c r="M168" s="12" t="s">
        <v>59</v>
      </c>
      <c r="N168" s="12" t="s">
        <v>673</v>
      </c>
      <c r="O168" s="12" t="s">
        <v>352</v>
      </c>
      <c r="P168" s="12" t="s">
        <v>45</v>
      </c>
      <c r="Q168" s="12" t="s">
        <v>556</v>
      </c>
      <c r="R168" s="13">
        <v>119120.16968078</v>
      </c>
      <c r="S168" s="13">
        <v>300262</v>
      </c>
      <c r="T168" s="13">
        <v>0</v>
      </c>
      <c r="U168" s="13">
        <v>0</v>
      </c>
      <c r="V168" s="13">
        <v>0</v>
      </c>
      <c r="W168" s="13">
        <v>0</v>
      </c>
      <c r="X168" s="12">
        <v>200</v>
      </c>
      <c r="Y168" s="12" t="s">
        <v>674</v>
      </c>
      <c r="Z168" s="12" t="s">
        <v>41</v>
      </c>
      <c r="AA168" s="12" t="s">
        <v>349</v>
      </c>
      <c r="AB168" s="14" t="str">
        <f>MID(PEDIDOS[[#This Row],[Vencimento(s)]],1,10)</f>
        <v>20/02/2026</v>
      </c>
      <c r="AC168" s="14" t="str">
        <f>MID(PEDIDOS[[#This Row],[Vencimento(s)]],14,10)</f>
        <v/>
      </c>
      <c r="AD168" s="14" t="str">
        <f>MID(PEDIDOS[[#This Row],[Vencimento(s)]],27,10)</f>
        <v/>
      </c>
      <c r="AE168" s="12" t="str">
        <f>MID(PEDIDOS[[#This Row],[Vencimento(s)]],40,10)</f>
        <v/>
      </c>
      <c r="AF168" s="12" t="str">
        <f>MID(PEDIDOS[[#This Row],[Vencimento(s)]],53,10)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Hansen -  Innovasell Corporation</dc:creator>
  <cp:lastModifiedBy>Hector Hansen -  Innovasell Corporation</cp:lastModifiedBy>
  <dcterms:created xsi:type="dcterms:W3CDTF">2026-03-05T13:53:18Z</dcterms:created>
  <dcterms:modified xsi:type="dcterms:W3CDTF">2026-03-05T13:53:41Z</dcterms:modified>
</cp:coreProperties>
</file>