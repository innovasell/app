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vasell-my.sharepoint.com/personal/hector_hansen_innovasell_com_br/Documents/Documentos/Downloads/"/>
    </mc:Choice>
  </mc:AlternateContent>
  <xr:revisionPtr revIDLastSave="0" documentId="8_{22C41A38-2EED-4F95-B481-181A09F2F864}" xr6:coauthVersionLast="47" xr6:coauthVersionMax="47" xr10:uidLastSave="{00000000-0000-0000-0000-000000000000}"/>
  <bookViews>
    <workbookView xWindow="-120" yWindow="-120" windowWidth="38640" windowHeight="15720" xr2:uid="{D9853C76-2D63-48A6-959F-6B50E6851C8B}"/>
  </bookViews>
  <sheets>
    <sheet name="Planilha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3" i="1" l="1"/>
  <c r="N163" i="1"/>
  <c r="K163" i="1"/>
  <c r="I163" i="1"/>
  <c r="E163" i="1"/>
  <c r="D163" i="1"/>
  <c r="C163" i="1"/>
  <c r="A163" i="1"/>
  <c r="O162" i="1"/>
  <c r="N162" i="1"/>
  <c r="K162" i="1"/>
  <c r="I162" i="1"/>
  <c r="E162" i="1"/>
  <c r="D162" i="1"/>
  <c r="C162" i="1"/>
  <c r="A162" i="1"/>
  <c r="O161" i="1"/>
  <c r="N161" i="1"/>
  <c r="K161" i="1"/>
  <c r="I161" i="1"/>
  <c r="E161" i="1"/>
  <c r="D161" i="1"/>
  <c r="C161" i="1"/>
  <c r="A161" i="1"/>
  <c r="O160" i="1"/>
  <c r="N160" i="1"/>
  <c r="K160" i="1"/>
  <c r="I160" i="1"/>
  <c r="E160" i="1"/>
  <c r="D160" i="1"/>
  <c r="C160" i="1"/>
  <c r="A160" i="1"/>
  <c r="O159" i="1"/>
  <c r="N159" i="1"/>
  <c r="K159" i="1"/>
  <c r="I159" i="1"/>
  <c r="E159" i="1"/>
  <c r="D159" i="1"/>
  <c r="C159" i="1"/>
  <c r="A159" i="1"/>
  <c r="O158" i="1"/>
  <c r="N158" i="1"/>
  <c r="K158" i="1"/>
  <c r="I158" i="1"/>
  <c r="E158" i="1"/>
  <c r="D158" i="1"/>
  <c r="C158" i="1"/>
  <c r="A158" i="1"/>
  <c r="O157" i="1"/>
  <c r="N157" i="1"/>
  <c r="K157" i="1"/>
  <c r="I157" i="1"/>
  <c r="E157" i="1"/>
  <c r="D157" i="1"/>
  <c r="C157" i="1"/>
  <c r="A157" i="1"/>
  <c r="O156" i="1"/>
  <c r="N156" i="1"/>
  <c r="K156" i="1"/>
  <c r="I156" i="1"/>
  <c r="E156" i="1"/>
  <c r="D156" i="1"/>
  <c r="C156" i="1"/>
  <c r="A156" i="1"/>
  <c r="O155" i="1"/>
  <c r="N155" i="1"/>
  <c r="K155" i="1"/>
  <c r="I155" i="1"/>
  <c r="E155" i="1"/>
  <c r="D155" i="1"/>
  <c r="C155" i="1"/>
  <c r="A155" i="1"/>
  <c r="O154" i="1"/>
  <c r="N154" i="1"/>
  <c r="K154" i="1"/>
  <c r="I154" i="1"/>
  <c r="E154" i="1"/>
  <c r="D154" i="1"/>
  <c r="C154" i="1"/>
  <c r="A154" i="1"/>
  <c r="O153" i="1"/>
  <c r="N153" i="1"/>
  <c r="M153" i="1"/>
  <c r="L153" i="1"/>
  <c r="K153" i="1"/>
  <c r="J153" i="1"/>
  <c r="I153" i="1"/>
  <c r="H153" i="1"/>
  <c r="G153" i="1"/>
  <c r="F153" i="1"/>
  <c r="D153" i="1"/>
  <c r="C153" i="1"/>
  <c r="A153" i="1"/>
  <c r="O152" i="1"/>
  <c r="N152" i="1"/>
  <c r="K152" i="1"/>
  <c r="I152" i="1"/>
  <c r="E152" i="1"/>
  <c r="D152" i="1"/>
  <c r="C152" i="1"/>
  <c r="A152" i="1"/>
  <c r="O151" i="1"/>
  <c r="N151" i="1"/>
  <c r="K151" i="1"/>
  <c r="I151" i="1"/>
  <c r="E151" i="1"/>
  <c r="D151" i="1"/>
  <c r="C151" i="1"/>
  <c r="A151" i="1"/>
  <c r="O150" i="1"/>
  <c r="N150" i="1"/>
  <c r="K150" i="1"/>
  <c r="I150" i="1"/>
  <c r="E150" i="1"/>
  <c r="D150" i="1"/>
  <c r="C150" i="1"/>
  <c r="A150" i="1"/>
  <c r="O149" i="1"/>
  <c r="N149" i="1"/>
  <c r="K149" i="1"/>
  <c r="I149" i="1"/>
  <c r="E149" i="1"/>
  <c r="D149" i="1"/>
  <c r="C149" i="1"/>
  <c r="A149" i="1"/>
  <c r="O148" i="1"/>
  <c r="N148" i="1"/>
  <c r="K148" i="1"/>
  <c r="I148" i="1"/>
  <c r="E148" i="1"/>
  <c r="D148" i="1"/>
  <c r="C148" i="1"/>
  <c r="A148" i="1"/>
  <c r="O147" i="1"/>
  <c r="N147" i="1"/>
  <c r="K147" i="1"/>
  <c r="I147" i="1"/>
  <c r="E147" i="1"/>
  <c r="D147" i="1"/>
  <c r="C147" i="1"/>
  <c r="A147" i="1"/>
  <c r="O146" i="1"/>
  <c r="N146" i="1"/>
  <c r="K146" i="1"/>
  <c r="I146" i="1"/>
  <c r="E146" i="1"/>
  <c r="D146" i="1"/>
  <c r="C146" i="1"/>
  <c r="A146" i="1"/>
  <c r="O145" i="1"/>
  <c r="N145" i="1"/>
  <c r="K145" i="1"/>
  <c r="I145" i="1"/>
  <c r="E145" i="1"/>
  <c r="D145" i="1"/>
  <c r="C145" i="1"/>
  <c r="A145" i="1"/>
  <c r="O144" i="1"/>
  <c r="N144" i="1"/>
  <c r="K144" i="1"/>
  <c r="I144" i="1"/>
  <c r="E144" i="1"/>
  <c r="D144" i="1"/>
  <c r="C144" i="1"/>
  <c r="A144" i="1"/>
  <c r="O143" i="1"/>
  <c r="N143" i="1"/>
  <c r="K143" i="1"/>
  <c r="I143" i="1"/>
  <c r="E143" i="1"/>
  <c r="D143" i="1"/>
  <c r="C143" i="1"/>
  <c r="A143" i="1"/>
  <c r="O142" i="1"/>
  <c r="N142" i="1"/>
  <c r="K142" i="1"/>
  <c r="I142" i="1"/>
  <c r="E142" i="1"/>
  <c r="D142" i="1"/>
  <c r="C142" i="1"/>
  <c r="A142" i="1"/>
  <c r="O141" i="1"/>
  <c r="N141" i="1"/>
  <c r="K141" i="1"/>
  <c r="I141" i="1"/>
  <c r="E141" i="1"/>
  <c r="D141" i="1"/>
  <c r="C141" i="1"/>
  <c r="A141" i="1"/>
  <c r="O140" i="1"/>
  <c r="N140" i="1"/>
  <c r="K140" i="1"/>
  <c r="I140" i="1"/>
  <c r="E140" i="1"/>
  <c r="D140" i="1"/>
  <c r="C140" i="1"/>
  <c r="A140" i="1"/>
  <c r="O139" i="1"/>
  <c r="N139" i="1"/>
  <c r="K139" i="1"/>
  <c r="I139" i="1"/>
  <c r="E139" i="1"/>
  <c r="D139" i="1"/>
  <c r="C139" i="1"/>
  <c r="A139" i="1"/>
  <c r="O138" i="1"/>
  <c r="N138" i="1"/>
  <c r="K138" i="1"/>
  <c r="I138" i="1"/>
  <c r="E138" i="1"/>
  <c r="D138" i="1"/>
  <c r="C138" i="1"/>
  <c r="A138" i="1"/>
  <c r="O137" i="1"/>
  <c r="N137" i="1"/>
  <c r="K137" i="1"/>
  <c r="I137" i="1"/>
  <c r="E137" i="1"/>
  <c r="D137" i="1"/>
  <c r="C137" i="1"/>
  <c r="A137" i="1"/>
  <c r="O136" i="1"/>
  <c r="N136" i="1"/>
  <c r="K136" i="1"/>
  <c r="I136" i="1"/>
  <c r="E136" i="1"/>
  <c r="D136" i="1"/>
  <c r="C136" i="1"/>
  <c r="A136" i="1"/>
  <c r="O135" i="1"/>
  <c r="N135" i="1"/>
  <c r="K135" i="1"/>
  <c r="I135" i="1"/>
  <c r="E135" i="1"/>
  <c r="D135" i="1"/>
  <c r="C135" i="1"/>
  <c r="A135" i="1"/>
  <c r="O134" i="1"/>
  <c r="N134" i="1"/>
  <c r="K134" i="1"/>
  <c r="I134" i="1"/>
  <c r="E134" i="1"/>
  <c r="D134" i="1"/>
  <c r="C134" i="1"/>
  <c r="A134" i="1"/>
  <c r="O133" i="1"/>
  <c r="N133" i="1"/>
  <c r="K133" i="1"/>
  <c r="I133" i="1"/>
  <c r="E133" i="1"/>
  <c r="D133" i="1"/>
  <c r="C133" i="1"/>
  <c r="A133" i="1"/>
  <c r="O132" i="1"/>
  <c r="N132" i="1"/>
  <c r="K132" i="1"/>
  <c r="I132" i="1"/>
  <c r="E132" i="1"/>
  <c r="D132" i="1"/>
  <c r="C132" i="1"/>
  <c r="A132" i="1"/>
  <c r="O131" i="1"/>
  <c r="N131" i="1"/>
  <c r="K131" i="1"/>
  <c r="I131" i="1"/>
  <c r="E131" i="1"/>
  <c r="D131" i="1"/>
  <c r="C131" i="1"/>
  <c r="A131" i="1"/>
  <c r="O130" i="1"/>
  <c r="N130" i="1"/>
  <c r="K130" i="1"/>
  <c r="I130" i="1"/>
  <c r="E130" i="1"/>
  <c r="D130" i="1"/>
  <c r="C130" i="1"/>
  <c r="A130" i="1"/>
  <c r="O129" i="1"/>
  <c r="N129" i="1"/>
  <c r="K129" i="1"/>
  <c r="I129" i="1"/>
  <c r="E129" i="1"/>
  <c r="D129" i="1"/>
  <c r="C129" i="1"/>
  <c r="A129" i="1"/>
  <c r="O128" i="1"/>
  <c r="N128" i="1"/>
  <c r="K128" i="1"/>
  <c r="I128" i="1"/>
  <c r="E128" i="1"/>
  <c r="D128" i="1"/>
  <c r="C128" i="1"/>
  <c r="A128" i="1"/>
  <c r="O127" i="1"/>
  <c r="N127" i="1"/>
  <c r="M127" i="1"/>
  <c r="L127" i="1"/>
  <c r="K127" i="1"/>
  <c r="J127" i="1"/>
  <c r="I127" i="1"/>
  <c r="H127" i="1"/>
  <c r="G127" i="1"/>
  <c r="F127" i="1"/>
  <c r="D127" i="1"/>
  <c r="C127" i="1"/>
  <c r="A127" i="1"/>
  <c r="O126" i="1"/>
  <c r="N126" i="1"/>
  <c r="K126" i="1"/>
  <c r="I126" i="1"/>
  <c r="E126" i="1"/>
  <c r="D126" i="1"/>
  <c r="C126" i="1"/>
  <c r="A126" i="1"/>
  <c r="O125" i="1"/>
  <c r="N125" i="1"/>
  <c r="K125" i="1"/>
  <c r="I125" i="1"/>
  <c r="E125" i="1"/>
  <c r="D125" i="1"/>
  <c r="C125" i="1"/>
  <c r="A125" i="1"/>
  <c r="O124" i="1"/>
  <c r="N124" i="1"/>
  <c r="K124" i="1"/>
  <c r="I124" i="1"/>
  <c r="E124" i="1"/>
  <c r="D124" i="1"/>
  <c r="C124" i="1"/>
  <c r="A124" i="1"/>
  <c r="O123" i="1"/>
  <c r="N123" i="1"/>
  <c r="K123" i="1"/>
  <c r="I123" i="1"/>
  <c r="E123" i="1"/>
  <c r="D123" i="1"/>
  <c r="C123" i="1"/>
  <c r="A123" i="1"/>
  <c r="O122" i="1"/>
  <c r="N122" i="1"/>
  <c r="K122" i="1"/>
  <c r="I122" i="1"/>
  <c r="E122" i="1"/>
  <c r="D122" i="1"/>
  <c r="C122" i="1"/>
  <c r="A122" i="1"/>
  <c r="O121" i="1"/>
  <c r="N121" i="1"/>
  <c r="K121" i="1"/>
  <c r="I121" i="1"/>
  <c r="E121" i="1"/>
  <c r="D121" i="1"/>
  <c r="C121" i="1"/>
  <c r="A121" i="1"/>
  <c r="O120" i="1"/>
  <c r="N120" i="1"/>
  <c r="K120" i="1"/>
  <c r="I120" i="1"/>
  <c r="E120" i="1"/>
  <c r="D120" i="1"/>
  <c r="C120" i="1"/>
  <c r="A120" i="1"/>
  <c r="O119" i="1"/>
  <c r="N119" i="1"/>
  <c r="K119" i="1"/>
  <c r="I119" i="1"/>
  <c r="E119" i="1"/>
  <c r="D119" i="1"/>
  <c r="C119" i="1"/>
  <c r="A119" i="1"/>
  <c r="O118" i="1"/>
  <c r="N118" i="1"/>
  <c r="K118" i="1"/>
  <c r="I118" i="1"/>
  <c r="E118" i="1"/>
  <c r="D118" i="1"/>
  <c r="C118" i="1"/>
  <c r="A118" i="1"/>
  <c r="O117" i="1"/>
  <c r="N117" i="1"/>
  <c r="K117" i="1"/>
  <c r="I117" i="1"/>
  <c r="E117" i="1"/>
  <c r="D117" i="1"/>
  <c r="C117" i="1"/>
  <c r="A117" i="1"/>
  <c r="O116" i="1"/>
  <c r="N116" i="1"/>
  <c r="K116" i="1"/>
  <c r="I116" i="1"/>
  <c r="E116" i="1"/>
  <c r="D116" i="1"/>
  <c r="C116" i="1"/>
  <c r="A116" i="1"/>
  <c r="O115" i="1"/>
  <c r="N115" i="1"/>
  <c r="K115" i="1"/>
  <c r="I115" i="1"/>
  <c r="E115" i="1"/>
  <c r="D115" i="1"/>
  <c r="C115" i="1"/>
  <c r="A115" i="1"/>
  <c r="O114" i="1"/>
  <c r="N114" i="1"/>
  <c r="K114" i="1"/>
  <c r="I114" i="1"/>
  <c r="E114" i="1"/>
  <c r="D114" i="1"/>
  <c r="C114" i="1"/>
  <c r="A114" i="1"/>
  <c r="O113" i="1"/>
  <c r="N113" i="1"/>
  <c r="K113" i="1"/>
  <c r="I113" i="1"/>
  <c r="E113" i="1"/>
  <c r="D113" i="1"/>
  <c r="C113" i="1"/>
  <c r="A113" i="1"/>
  <c r="O112" i="1"/>
  <c r="N112" i="1"/>
  <c r="K112" i="1"/>
  <c r="I112" i="1"/>
  <c r="E112" i="1"/>
  <c r="D112" i="1"/>
  <c r="C112" i="1"/>
  <c r="A112" i="1"/>
  <c r="O111" i="1"/>
  <c r="N111" i="1"/>
  <c r="K111" i="1"/>
  <c r="I111" i="1"/>
  <c r="E111" i="1"/>
  <c r="D111" i="1"/>
  <c r="C111" i="1"/>
  <c r="A111" i="1"/>
  <c r="O110" i="1"/>
  <c r="N110" i="1"/>
  <c r="K110" i="1"/>
  <c r="I110" i="1"/>
  <c r="E110" i="1"/>
  <c r="D110" i="1"/>
  <c r="C110" i="1"/>
  <c r="A110" i="1"/>
  <c r="O109" i="1"/>
  <c r="N109" i="1"/>
  <c r="K109" i="1"/>
  <c r="I109" i="1"/>
  <c r="E109" i="1"/>
  <c r="D109" i="1"/>
  <c r="C109" i="1"/>
  <c r="A109" i="1"/>
  <c r="O108" i="1"/>
  <c r="N108" i="1"/>
  <c r="K108" i="1"/>
  <c r="I108" i="1"/>
  <c r="E108" i="1"/>
  <c r="D108" i="1"/>
  <c r="C108" i="1"/>
  <c r="A108" i="1"/>
  <c r="O107" i="1"/>
  <c r="N107" i="1"/>
  <c r="K107" i="1"/>
  <c r="I107" i="1"/>
  <c r="E107" i="1"/>
  <c r="D107" i="1"/>
  <c r="C107" i="1"/>
  <c r="A107" i="1"/>
  <c r="O106" i="1"/>
  <c r="N106" i="1"/>
  <c r="K106" i="1"/>
  <c r="I106" i="1"/>
  <c r="E106" i="1"/>
  <c r="D106" i="1"/>
  <c r="C106" i="1"/>
  <c r="A106" i="1"/>
  <c r="O105" i="1"/>
  <c r="N105" i="1"/>
  <c r="K105" i="1"/>
  <c r="I105" i="1"/>
  <c r="E105" i="1"/>
  <c r="D105" i="1"/>
  <c r="C105" i="1"/>
  <c r="A105" i="1"/>
  <c r="O104" i="1"/>
  <c r="N104" i="1"/>
  <c r="K104" i="1"/>
  <c r="I104" i="1"/>
  <c r="E104" i="1"/>
  <c r="D104" i="1"/>
  <c r="C104" i="1"/>
  <c r="A104" i="1"/>
  <c r="O103" i="1"/>
  <c r="N103" i="1"/>
  <c r="K103" i="1"/>
  <c r="I103" i="1"/>
  <c r="E103" i="1"/>
  <c r="D103" i="1"/>
  <c r="C103" i="1"/>
  <c r="A103" i="1"/>
  <c r="O102" i="1"/>
  <c r="N102" i="1"/>
  <c r="K102" i="1"/>
  <c r="I102" i="1"/>
  <c r="E102" i="1"/>
  <c r="D102" i="1"/>
  <c r="C102" i="1"/>
  <c r="A102" i="1"/>
  <c r="O101" i="1"/>
  <c r="N101" i="1"/>
  <c r="K101" i="1"/>
  <c r="I101" i="1"/>
  <c r="E101" i="1"/>
  <c r="D101" i="1"/>
  <c r="C101" i="1"/>
  <c r="A101" i="1"/>
  <c r="O100" i="1"/>
  <c r="N100" i="1"/>
  <c r="K100" i="1"/>
  <c r="I100" i="1"/>
  <c r="E100" i="1"/>
  <c r="D100" i="1"/>
  <c r="C100" i="1"/>
  <c r="A100" i="1"/>
  <c r="O99" i="1"/>
  <c r="N99" i="1"/>
  <c r="K99" i="1"/>
  <c r="I99" i="1"/>
  <c r="E99" i="1"/>
  <c r="D99" i="1"/>
  <c r="C99" i="1"/>
  <c r="A99" i="1"/>
  <c r="O98" i="1"/>
  <c r="N98" i="1"/>
  <c r="M98" i="1"/>
  <c r="L98" i="1"/>
  <c r="K98" i="1"/>
  <c r="J98" i="1"/>
  <c r="I98" i="1"/>
  <c r="H98" i="1"/>
  <c r="G98" i="1"/>
  <c r="F98" i="1"/>
  <c r="D98" i="1"/>
  <c r="C98" i="1"/>
  <c r="A98" i="1"/>
  <c r="O97" i="1"/>
  <c r="N97" i="1"/>
  <c r="K97" i="1"/>
  <c r="I97" i="1"/>
  <c r="E97" i="1"/>
  <c r="D97" i="1"/>
  <c r="C97" i="1"/>
  <c r="A97" i="1"/>
  <c r="O96" i="1"/>
  <c r="N96" i="1"/>
  <c r="M96" i="1"/>
  <c r="L96" i="1"/>
  <c r="K96" i="1"/>
  <c r="J96" i="1"/>
  <c r="I96" i="1"/>
  <c r="H96" i="1"/>
  <c r="G96" i="1"/>
  <c r="F96" i="1"/>
  <c r="D96" i="1"/>
  <c r="C96" i="1"/>
  <c r="A96" i="1"/>
  <c r="O95" i="1"/>
  <c r="N95" i="1"/>
  <c r="K95" i="1"/>
  <c r="I95" i="1"/>
  <c r="E95" i="1"/>
  <c r="D95" i="1"/>
  <c r="C95" i="1"/>
  <c r="A95" i="1"/>
  <c r="O94" i="1"/>
  <c r="N94" i="1"/>
  <c r="K94" i="1"/>
  <c r="I94" i="1"/>
  <c r="E94" i="1"/>
  <c r="D94" i="1"/>
  <c r="C94" i="1"/>
  <c r="A94" i="1"/>
  <c r="O93" i="1"/>
  <c r="N93" i="1"/>
  <c r="K93" i="1"/>
  <c r="I93" i="1"/>
  <c r="E93" i="1"/>
  <c r="D93" i="1"/>
  <c r="C93" i="1"/>
  <c r="A93" i="1"/>
  <c r="O92" i="1"/>
  <c r="N92" i="1"/>
  <c r="K92" i="1"/>
  <c r="I92" i="1"/>
  <c r="E92" i="1"/>
  <c r="D92" i="1"/>
  <c r="C92" i="1"/>
  <c r="A92" i="1"/>
  <c r="O91" i="1"/>
  <c r="N91" i="1"/>
  <c r="K91" i="1"/>
  <c r="I91" i="1"/>
  <c r="E91" i="1"/>
  <c r="D91" i="1"/>
  <c r="C91" i="1"/>
  <c r="A91" i="1"/>
  <c r="O90" i="1"/>
  <c r="N90" i="1"/>
  <c r="K90" i="1"/>
  <c r="I90" i="1"/>
  <c r="E90" i="1"/>
  <c r="D90" i="1"/>
  <c r="C90" i="1"/>
  <c r="A90" i="1"/>
  <c r="O89" i="1"/>
  <c r="N89" i="1"/>
  <c r="K89" i="1"/>
  <c r="I89" i="1"/>
  <c r="E89" i="1"/>
  <c r="D89" i="1"/>
  <c r="C89" i="1"/>
  <c r="A89" i="1"/>
  <c r="O88" i="1"/>
  <c r="N88" i="1"/>
  <c r="K88" i="1"/>
  <c r="I88" i="1"/>
  <c r="E88" i="1"/>
  <c r="D88" i="1"/>
  <c r="C88" i="1"/>
  <c r="A88" i="1"/>
  <c r="O87" i="1"/>
  <c r="N87" i="1"/>
  <c r="K87" i="1"/>
  <c r="I87" i="1"/>
  <c r="E87" i="1"/>
  <c r="D87" i="1"/>
  <c r="C87" i="1"/>
  <c r="A87" i="1"/>
  <c r="O86" i="1"/>
  <c r="N86" i="1"/>
  <c r="K86" i="1"/>
  <c r="I86" i="1"/>
  <c r="E86" i="1"/>
  <c r="D86" i="1"/>
  <c r="C86" i="1"/>
  <c r="A86" i="1"/>
  <c r="O85" i="1"/>
  <c r="N85" i="1"/>
  <c r="K85" i="1"/>
  <c r="I85" i="1"/>
  <c r="E85" i="1"/>
  <c r="D85" i="1"/>
  <c r="C85" i="1"/>
  <c r="A85" i="1"/>
  <c r="O84" i="1"/>
  <c r="N84" i="1"/>
  <c r="K84" i="1"/>
  <c r="I84" i="1"/>
  <c r="E84" i="1"/>
  <c r="D84" i="1"/>
  <c r="C84" i="1"/>
  <c r="A84" i="1"/>
  <c r="O83" i="1"/>
  <c r="N83" i="1"/>
  <c r="K83" i="1"/>
  <c r="I83" i="1"/>
  <c r="E83" i="1"/>
  <c r="D83" i="1"/>
  <c r="C83" i="1"/>
  <c r="A83" i="1"/>
  <c r="O82" i="1"/>
  <c r="N82" i="1"/>
  <c r="K82" i="1"/>
  <c r="I82" i="1"/>
  <c r="E82" i="1"/>
  <c r="D82" i="1"/>
  <c r="C82" i="1"/>
  <c r="A82" i="1"/>
  <c r="O81" i="1"/>
  <c r="N81" i="1"/>
  <c r="K81" i="1"/>
  <c r="I81" i="1"/>
  <c r="E81" i="1"/>
  <c r="D81" i="1"/>
  <c r="C81" i="1"/>
  <c r="A81" i="1"/>
  <c r="O80" i="1"/>
  <c r="N80" i="1"/>
  <c r="K80" i="1"/>
  <c r="I80" i="1"/>
  <c r="E80" i="1"/>
  <c r="D80" i="1"/>
  <c r="C80" i="1"/>
  <c r="A80" i="1"/>
  <c r="O79" i="1"/>
  <c r="N79" i="1"/>
  <c r="K79" i="1"/>
  <c r="I79" i="1"/>
  <c r="E79" i="1"/>
  <c r="D79" i="1"/>
  <c r="C79" i="1"/>
  <c r="A79" i="1"/>
  <c r="O78" i="1"/>
  <c r="N78" i="1"/>
  <c r="K78" i="1"/>
  <c r="I78" i="1"/>
  <c r="E78" i="1"/>
  <c r="D78" i="1"/>
  <c r="C78" i="1"/>
  <c r="A78" i="1"/>
  <c r="O77" i="1"/>
  <c r="N77" i="1"/>
  <c r="K77" i="1"/>
  <c r="I77" i="1"/>
  <c r="E77" i="1"/>
  <c r="D77" i="1"/>
  <c r="C77" i="1"/>
  <c r="A77" i="1"/>
  <c r="O76" i="1"/>
  <c r="N76" i="1"/>
  <c r="K76" i="1"/>
  <c r="I76" i="1"/>
  <c r="E76" i="1"/>
  <c r="D76" i="1"/>
  <c r="C76" i="1"/>
  <c r="A76" i="1"/>
  <c r="O75" i="1"/>
  <c r="N75" i="1"/>
  <c r="K75" i="1"/>
  <c r="I75" i="1"/>
  <c r="E75" i="1"/>
  <c r="D75" i="1"/>
  <c r="C75" i="1"/>
  <c r="A75" i="1"/>
  <c r="O74" i="1"/>
  <c r="N74" i="1"/>
  <c r="K74" i="1"/>
  <c r="I74" i="1"/>
  <c r="E74" i="1"/>
  <c r="D74" i="1"/>
  <c r="C74" i="1"/>
  <c r="A74" i="1"/>
  <c r="O73" i="1"/>
  <c r="N73" i="1"/>
  <c r="K73" i="1"/>
  <c r="I73" i="1"/>
  <c r="E73" i="1"/>
  <c r="D73" i="1"/>
  <c r="C73" i="1"/>
  <c r="A73" i="1"/>
  <c r="O72" i="1"/>
  <c r="N72" i="1"/>
  <c r="K72" i="1"/>
  <c r="I72" i="1"/>
  <c r="E72" i="1"/>
  <c r="D72" i="1"/>
  <c r="C72" i="1"/>
  <c r="A72" i="1"/>
  <c r="O71" i="1"/>
  <c r="N71" i="1"/>
  <c r="K71" i="1"/>
  <c r="I71" i="1"/>
  <c r="E71" i="1"/>
  <c r="D71" i="1"/>
  <c r="C71" i="1"/>
  <c r="A71" i="1"/>
  <c r="O70" i="1"/>
  <c r="N70" i="1"/>
  <c r="K70" i="1"/>
  <c r="I70" i="1"/>
  <c r="E70" i="1"/>
  <c r="D70" i="1"/>
  <c r="C70" i="1"/>
  <c r="A70" i="1"/>
  <c r="O69" i="1"/>
  <c r="N69" i="1"/>
  <c r="K69" i="1"/>
  <c r="I69" i="1"/>
  <c r="E69" i="1"/>
  <c r="D69" i="1"/>
  <c r="C69" i="1"/>
  <c r="A69" i="1"/>
  <c r="O68" i="1"/>
  <c r="N68" i="1"/>
  <c r="K68" i="1"/>
  <c r="I68" i="1"/>
  <c r="E68" i="1"/>
  <c r="D68" i="1"/>
  <c r="C68" i="1"/>
  <c r="A68" i="1"/>
  <c r="O67" i="1"/>
  <c r="N67" i="1"/>
  <c r="K67" i="1"/>
  <c r="I67" i="1"/>
  <c r="E67" i="1"/>
  <c r="D67" i="1"/>
  <c r="C67" i="1"/>
  <c r="A67" i="1"/>
  <c r="O66" i="1"/>
  <c r="N66" i="1"/>
  <c r="K66" i="1"/>
  <c r="I66" i="1"/>
  <c r="E66" i="1"/>
  <c r="D66" i="1"/>
  <c r="C66" i="1"/>
  <c r="A66" i="1"/>
  <c r="O65" i="1"/>
  <c r="N65" i="1"/>
  <c r="K65" i="1"/>
  <c r="I65" i="1"/>
  <c r="E65" i="1"/>
  <c r="D65" i="1"/>
  <c r="C65" i="1"/>
  <c r="A65" i="1"/>
  <c r="O64" i="1"/>
  <c r="N64" i="1"/>
  <c r="K64" i="1"/>
  <c r="I64" i="1"/>
  <c r="E64" i="1"/>
  <c r="D64" i="1"/>
  <c r="C64" i="1"/>
  <c r="A64" i="1"/>
  <c r="O63" i="1"/>
  <c r="N63" i="1"/>
  <c r="K63" i="1"/>
  <c r="I63" i="1"/>
  <c r="E63" i="1"/>
  <c r="D63" i="1"/>
  <c r="C63" i="1"/>
  <c r="A63" i="1"/>
  <c r="O62" i="1"/>
  <c r="N62" i="1"/>
  <c r="K62" i="1"/>
  <c r="I62" i="1"/>
  <c r="E62" i="1"/>
  <c r="D62" i="1"/>
  <c r="C62" i="1"/>
  <c r="A62" i="1"/>
  <c r="O61" i="1"/>
  <c r="N61" i="1"/>
  <c r="K61" i="1"/>
  <c r="I61" i="1"/>
  <c r="E61" i="1"/>
  <c r="D61" i="1"/>
  <c r="C61" i="1"/>
  <c r="A61" i="1"/>
  <c r="O60" i="1"/>
  <c r="N60" i="1"/>
  <c r="K60" i="1"/>
  <c r="I60" i="1"/>
  <c r="E60" i="1"/>
  <c r="D60" i="1"/>
  <c r="C60" i="1"/>
  <c r="A60" i="1"/>
  <c r="O59" i="1"/>
  <c r="N59" i="1"/>
  <c r="K59" i="1"/>
  <c r="I59" i="1"/>
  <c r="E59" i="1"/>
  <c r="D59" i="1"/>
  <c r="C59" i="1"/>
  <c r="A59" i="1"/>
  <c r="O58" i="1"/>
  <c r="N58" i="1"/>
  <c r="K58" i="1"/>
  <c r="I58" i="1"/>
  <c r="E58" i="1"/>
  <c r="D58" i="1"/>
  <c r="C58" i="1"/>
  <c r="A58" i="1"/>
  <c r="O57" i="1"/>
  <c r="N57" i="1"/>
  <c r="K57" i="1"/>
  <c r="I57" i="1"/>
  <c r="E57" i="1"/>
  <c r="D57" i="1"/>
  <c r="C57" i="1"/>
  <c r="A57" i="1"/>
  <c r="O56" i="1"/>
  <c r="N56" i="1"/>
  <c r="K56" i="1"/>
  <c r="I56" i="1"/>
  <c r="E56" i="1"/>
  <c r="D56" i="1"/>
  <c r="C56" i="1"/>
  <c r="A56" i="1"/>
  <c r="O55" i="1"/>
  <c r="N55" i="1"/>
  <c r="K55" i="1"/>
  <c r="I55" i="1"/>
  <c r="E55" i="1"/>
  <c r="D55" i="1"/>
  <c r="C55" i="1"/>
  <c r="A55" i="1"/>
  <c r="O54" i="1"/>
  <c r="N54" i="1"/>
  <c r="K54" i="1"/>
  <c r="I54" i="1"/>
  <c r="E54" i="1"/>
  <c r="D54" i="1"/>
  <c r="C54" i="1"/>
  <c r="A54" i="1"/>
  <c r="O53" i="1"/>
  <c r="N53" i="1"/>
  <c r="K53" i="1"/>
  <c r="I53" i="1"/>
  <c r="E53" i="1"/>
  <c r="D53" i="1"/>
  <c r="C53" i="1"/>
  <c r="A53" i="1"/>
  <c r="O52" i="1"/>
  <c r="N52" i="1"/>
  <c r="K52" i="1"/>
  <c r="I52" i="1"/>
  <c r="E52" i="1"/>
  <c r="D52" i="1"/>
  <c r="C52" i="1"/>
  <c r="A52" i="1"/>
  <c r="O51" i="1"/>
  <c r="N51" i="1"/>
  <c r="K51" i="1"/>
  <c r="I51" i="1"/>
  <c r="E51" i="1"/>
  <c r="D51" i="1"/>
  <c r="C51" i="1"/>
  <c r="A51" i="1"/>
  <c r="O50" i="1"/>
  <c r="N50" i="1"/>
  <c r="K50" i="1"/>
  <c r="I50" i="1"/>
  <c r="E50" i="1"/>
  <c r="D50" i="1"/>
  <c r="C50" i="1"/>
  <c r="A50" i="1"/>
  <c r="O49" i="1"/>
  <c r="N49" i="1"/>
  <c r="K49" i="1"/>
  <c r="I49" i="1"/>
  <c r="E49" i="1"/>
  <c r="D49" i="1"/>
  <c r="C49" i="1"/>
  <c r="A49" i="1"/>
  <c r="O48" i="1"/>
  <c r="N48" i="1"/>
  <c r="K48" i="1"/>
  <c r="I48" i="1"/>
  <c r="E48" i="1"/>
  <c r="D48" i="1"/>
  <c r="C48" i="1"/>
  <c r="A48" i="1"/>
  <c r="O47" i="1"/>
  <c r="N47" i="1"/>
  <c r="K47" i="1"/>
  <c r="I47" i="1"/>
  <c r="E47" i="1"/>
  <c r="D47" i="1"/>
  <c r="C47" i="1"/>
  <c r="A47" i="1"/>
  <c r="O46" i="1"/>
  <c r="N46" i="1"/>
  <c r="K46" i="1"/>
  <c r="I46" i="1"/>
  <c r="E46" i="1"/>
  <c r="D46" i="1"/>
  <c r="C46" i="1"/>
  <c r="A46" i="1"/>
  <c r="O45" i="1"/>
  <c r="N45" i="1"/>
  <c r="K45" i="1"/>
  <c r="I45" i="1"/>
  <c r="E45" i="1"/>
  <c r="D45" i="1"/>
  <c r="C45" i="1"/>
  <c r="A45" i="1"/>
  <c r="O44" i="1"/>
  <c r="N44" i="1"/>
  <c r="K44" i="1"/>
  <c r="I44" i="1"/>
  <c r="E44" i="1"/>
  <c r="D44" i="1"/>
  <c r="C44" i="1"/>
  <c r="A44" i="1"/>
  <c r="O43" i="1"/>
  <c r="N43" i="1"/>
  <c r="K43" i="1"/>
  <c r="I43" i="1"/>
  <c r="E43" i="1"/>
  <c r="D43" i="1"/>
  <c r="C43" i="1"/>
  <c r="A43" i="1"/>
  <c r="O42" i="1"/>
  <c r="N42" i="1"/>
  <c r="K42" i="1"/>
  <c r="I42" i="1"/>
  <c r="E42" i="1"/>
  <c r="D42" i="1"/>
  <c r="C42" i="1"/>
  <c r="A42" i="1"/>
  <c r="O41" i="1"/>
  <c r="N41" i="1"/>
  <c r="K41" i="1"/>
  <c r="I41" i="1"/>
  <c r="E41" i="1"/>
  <c r="D41" i="1"/>
  <c r="C41" i="1"/>
  <c r="A41" i="1"/>
  <c r="O40" i="1"/>
  <c r="N40" i="1"/>
  <c r="K40" i="1"/>
  <c r="I40" i="1"/>
  <c r="E40" i="1"/>
  <c r="D40" i="1"/>
  <c r="C40" i="1"/>
  <c r="A40" i="1"/>
  <c r="O39" i="1"/>
  <c r="N39" i="1"/>
  <c r="K39" i="1"/>
  <c r="I39" i="1"/>
  <c r="E39" i="1"/>
  <c r="D39" i="1"/>
  <c r="C39" i="1"/>
  <c r="A39" i="1"/>
  <c r="O38" i="1"/>
  <c r="N38" i="1"/>
  <c r="K38" i="1"/>
  <c r="I38" i="1"/>
  <c r="E38" i="1"/>
  <c r="D38" i="1"/>
  <c r="C38" i="1"/>
  <c r="A38" i="1"/>
  <c r="O37" i="1"/>
  <c r="N37" i="1"/>
  <c r="K37" i="1"/>
  <c r="I37" i="1"/>
  <c r="E37" i="1"/>
  <c r="D37" i="1"/>
  <c r="C37" i="1"/>
  <c r="A37" i="1"/>
  <c r="O36" i="1"/>
  <c r="N36" i="1"/>
  <c r="K36" i="1"/>
  <c r="I36" i="1"/>
  <c r="E36" i="1"/>
  <c r="D36" i="1"/>
  <c r="C36" i="1"/>
  <c r="A36" i="1"/>
  <c r="O35" i="1"/>
  <c r="N35" i="1"/>
  <c r="K35" i="1"/>
  <c r="I35" i="1"/>
  <c r="E35" i="1"/>
  <c r="D35" i="1"/>
  <c r="C35" i="1"/>
  <c r="A35" i="1"/>
  <c r="O34" i="1"/>
  <c r="N34" i="1"/>
  <c r="K34" i="1"/>
  <c r="I34" i="1"/>
  <c r="E34" i="1"/>
  <c r="D34" i="1"/>
  <c r="C34" i="1"/>
  <c r="A34" i="1"/>
  <c r="O33" i="1"/>
  <c r="N33" i="1"/>
  <c r="K33" i="1"/>
  <c r="I33" i="1"/>
  <c r="E33" i="1"/>
  <c r="D33" i="1"/>
  <c r="C33" i="1"/>
  <c r="A33" i="1"/>
  <c r="O32" i="1"/>
  <c r="N32" i="1"/>
  <c r="K32" i="1"/>
  <c r="I32" i="1"/>
  <c r="E32" i="1"/>
  <c r="D32" i="1"/>
  <c r="C32" i="1"/>
  <c r="A32" i="1"/>
  <c r="O31" i="1"/>
  <c r="N31" i="1"/>
  <c r="K31" i="1"/>
  <c r="I31" i="1"/>
  <c r="E31" i="1"/>
  <c r="D31" i="1"/>
  <c r="C31" i="1"/>
  <c r="A31" i="1"/>
  <c r="O30" i="1"/>
  <c r="N30" i="1"/>
  <c r="M30" i="1"/>
  <c r="L30" i="1"/>
  <c r="K30" i="1"/>
  <c r="J30" i="1"/>
  <c r="I30" i="1"/>
  <c r="H30" i="1"/>
  <c r="G30" i="1"/>
  <c r="F30" i="1"/>
  <c r="D30" i="1"/>
  <c r="C30" i="1"/>
  <c r="A30" i="1"/>
  <c r="O29" i="1"/>
  <c r="N29" i="1"/>
  <c r="K29" i="1"/>
  <c r="I29" i="1"/>
  <c r="E29" i="1"/>
  <c r="D29" i="1"/>
  <c r="C29" i="1"/>
  <c r="A29" i="1"/>
  <c r="O28" i="1"/>
  <c r="N28" i="1"/>
  <c r="K28" i="1"/>
  <c r="I28" i="1"/>
  <c r="E28" i="1"/>
  <c r="D28" i="1"/>
  <c r="C28" i="1"/>
  <c r="A28" i="1"/>
  <c r="O27" i="1"/>
  <c r="N27" i="1"/>
  <c r="K27" i="1"/>
  <c r="I27" i="1"/>
  <c r="E27" i="1"/>
  <c r="D27" i="1"/>
  <c r="C27" i="1"/>
  <c r="A27" i="1"/>
  <c r="O26" i="1"/>
  <c r="N26" i="1"/>
  <c r="K26" i="1"/>
  <c r="I26" i="1"/>
  <c r="E26" i="1"/>
  <c r="D26" i="1"/>
  <c r="C26" i="1"/>
  <c r="A26" i="1"/>
  <c r="O25" i="1"/>
  <c r="N25" i="1"/>
  <c r="K25" i="1"/>
  <c r="I25" i="1"/>
  <c r="E25" i="1"/>
  <c r="D25" i="1"/>
  <c r="C25" i="1"/>
  <c r="A25" i="1"/>
  <c r="O24" i="1"/>
  <c r="N24" i="1"/>
  <c r="K24" i="1"/>
  <c r="I24" i="1"/>
  <c r="E24" i="1"/>
  <c r="D24" i="1"/>
  <c r="C24" i="1"/>
  <c r="A24" i="1"/>
  <c r="O23" i="1"/>
  <c r="N23" i="1"/>
  <c r="M23" i="1"/>
  <c r="L23" i="1"/>
  <c r="K23" i="1"/>
  <c r="J23" i="1"/>
  <c r="I23" i="1"/>
  <c r="H23" i="1"/>
  <c r="G23" i="1"/>
  <c r="F23" i="1"/>
  <c r="D23" i="1"/>
  <c r="C23" i="1"/>
  <c r="A23" i="1"/>
  <c r="O22" i="1"/>
  <c r="N22" i="1"/>
  <c r="K22" i="1"/>
  <c r="I22" i="1"/>
  <c r="E22" i="1"/>
  <c r="D22" i="1"/>
  <c r="C22" i="1"/>
  <c r="A22" i="1"/>
  <c r="O21" i="1"/>
  <c r="N21" i="1"/>
  <c r="K21" i="1"/>
  <c r="I21" i="1"/>
  <c r="E21" i="1"/>
  <c r="D21" i="1"/>
  <c r="C21" i="1"/>
  <c r="A21" i="1"/>
  <c r="O20" i="1"/>
  <c r="N20" i="1"/>
  <c r="K20" i="1"/>
  <c r="I20" i="1"/>
  <c r="E20" i="1"/>
  <c r="D20" i="1"/>
  <c r="C20" i="1"/>
  <c r="A20" i="1"/>
  <c r="O19" i="1"/>
  <c r="N19" i="1"/>
  <c r="K19" i="1"/>
  <c r="I19" i="1"/>
  <c r="E19" i="1"/>
  <c r="D19" i="1"/>
  <c r="C19" i="1"/>
  <c r="A19" i="1"/>
  <c r="O18" i="1"/>
  <c r="N18" i="1"/>
  <c r="K18" i="1"/>
  <c r="I18" i="1"/>
  <c r="E18" i="1"/>
  <c r="D18" i="1"/>
  <c r="C18" i="1"/>
  <c r="A18" i="1"/>
  <c r="O17" i="1"/>
  <c r="N17" i="1"/>
  <c r="M17" i="1"/>
  <c r="L17" i="1"/>
  <c r="K17" i="1"/>
  <c r="J17" i="1"/>
  <c r="I17" i="1"/>
  <c r="H17" i="1"/>
  <c r="G17" i="1"/>
  <c r="F17" i="1"/>
  <c r="D17" i="1"/>
  <c r="C17" i="1"/>
  <c r="A17" i="1"/>
  <c r="O16" i="1"/>
  <c r="N16" i="1"/>
  <c r="K16" i="1"/>
  <c r="I16" i="1"/>
  <c r="E16" i="1"/>
  <c r="D16" i="1"/>
  <c r="C16" i="1"/>
  <c r="A16" i="1"/>
  <c r="O15" i="1"/>
  <c r="N15" i="1"/>
  <c r="K15" i="1"/>
  <c r="I15" i="1"/>
  <c r="E15" i="1"/>
  <c r="D15" i="1"/>
  <c r="C15" i="1"/>
  <c r="A15" i="1"/>
  <c r="O14" i="1"/>
  <c r="N14" i="1"/>
  <c r="K14" i="1"/>
  <c r="I14" i="1"/>
  <c r="E14" i="1"/>
  <c r="D14" i="1"/>
  <c r="C14" i="1"/>
  <c r="A14" i="1"/>
  <c r="O13" i="1"/>
  <c r="N13" i="1"/>
  <c r="K13" i="1"/>
  <c r="I13" i="1"/>
  <c r="E13" i="1"/>
  <c r="D13" i="1"/>
  <c r="C13" i="1"/>
  <c r="A13" i="1"/>
  <c r="O12" i="1"/>
  <c r="N12" i="1"/>
  <c r="K12" i="1"/>
  <c r="I12" i="1"/>
  <c r="E12" i="1"/>
  <c r="D12" i="1"/>
  <c r="C12" i="1"/>
  <c r="A12" i="1"/>
  <c r="O11" i="1"/>
  <c r="N11" i="1"/>
  <c r="K11" i="1"/>
  <c r="I11" i="1"/>
  <c r="E11" i="1"/>
  <c r="D11" i="1"/>
  <c r="C11" i="1"/>
  <c r="A11" i="1"/>
  <c r="O10" i="1"/>
  <c r="N10" i="1"/>
  <c r="K10" i="1"/>
  <c r="I10" i="1"/>
  <c r="E10" i="1"/>
  <c r="D10" i="1"/>
  <c r="C10" i="1"/>
  <c r="A10" i="1"/>
  <c r="O9" i="1"/>
  <c r="N9" i="1"/>
  <c r="M9" i="1"/>
  <c r="L9" i="1"/>
  <c r="K9" i="1"/>
  <c r="J9" i="1"/>
  <c r="I9" i="1"/>
  <c r="H9" i="1"/>
  <c r="G9" i="1"/>
  <c r="F9" i="1"/>
  <c r="D9" i="1"/>
  <c r="C9" i="1"/>
  <c r="A9" i="1"/>
  <c r="O8" i="1"/>
  <c r="N8" i="1"/>
  <c r="M8" i="1"/>
  <c r="L8" i="1"/>
  <c r="K8" i="1"/>
  <c r="J8" i="1"/>
  <c r="I8" i="1"/>
  <c r="H8" i="1"/>
  <c r="G8" i="1"/>
  <c r="F8" i="1"/>
  <c r="D8" i="1"/>
  <c r="C8" i="1"/>
  <c r="A8" i="1"/>
  <c r="O7" i="1"/>
  <c r="N7" i="1"/>
  <c r="K7" i="1"/>
  <c r="I7" i="1"/>
  <c r="E7" i="1"/>
  <c r="D7" i="1"/>
  <c r="C7" i="1"/>
  <c r="A7" i="1"/>
  <c r="O6" i="1"/>
  <c r="N6" i="1"/>
  <c r="K6" i="1"/>
  <c r="I6" i="1"/>
  <c r="E6" i="1"/>
  <c r="D6" i="1"/>
  <c r="C6" i="1"/>
  <c r="A6" i="1"/>
  <c r="O5" i="1"/>
  <c r="N5" i="1"/>
  <c r="K5" i="1"/>
  <c r="I5" i="1"/>
  <c r="E5" i="1"/>
  <c r="D5" i="1"/>
  <c r="C5" i="1"/>
  <c r="A5" i="1"/>
  <c r="O4" i="1"/>
  <c r="N4" i="1"/>
  <c r="K4" i="1"/>
  <c r="I4" i="1"/>
  <c r="E4" i="1"/>
  <c r="D4" i="1"/>
  <c r="C4" i="1"/>
  <c r="A4" i="1"/>
  <c r="O3" i="1"/>
  <c r="N3" i="1"/>
  <c r="K3" i="1"/>
  <c r="I3" i="1"/>
  <c r="E3" i="1"/>
  <c r="D3" i="1"/>
  <c r="C3" i="1"/>
  <c r="A3" i="1"/>
  <c r="F151" i="1" l="1"/>
  <c r="F149" i="1"/>
  <c r="F163" i="1"/>
  <c r="F157" i="1"/>
  <c r="F148" i="1"/>
  <c r="F162" i="1"/>
  <c r="F161" i="1"/>
  <c r="F160" i="1"/>
  <c r="F159" i="1"/>
  <c r="F158" i="1"/>
  <c r="F156" i="1"/>
  <c r="F150" i="1" l="1"/>
  <c r="F152" i="1"/>
  <c r="F155" i="1"/>
  <c r="F154" i="1"/>
  <c r="G159" i="1" l="1"/>
  <c r="G149" i="1"/>
  <c r="G148" i="1"/>
  <c r="G162" i="1"/>
  <c r="G161" i="1"/>
  <c r="G151" i="1"/>
  <c r="G154" i="1"/>
  <c r="G157" i="1"/>
  <c r="G155" i="1"/>
  <c r="G152" i="1"/>
  <c r="G163" i="1"/>
  <c r="G160" i="1"/>
  <c r="G158" i="1"/>
  <c r="G156" i="1"/>
  <c r="G150" i="1"/>
  <c r="H152" i="1" l="1"/>
  <c r="H155" i="1"/>
  <c r="H157" i="1"/>
  <c r="H154" i="1"/>
  <c r="H151" i="1"/>
  <c r="H150" i="1"/>
  <c r="H161" i="1"/>
  <c r="H156" i="1"/>
  <c r="H162" i="1"/>
  <c r="H158" i="1"/>
  <c r="H148" i="1"/>
  <c r="H160" i="1"/>
  <c r="H149" i="1"/>
  <c r="H163" i="1"/>
  <c r="H159" i="1"/>
  <c r="L158" i="1" l="1"/>
  <c r="J158" i="1"/>
  <c r="L162" i="1"/>
  <c r="J162" i="1"/>
  <c r="L156" i="1"/>
  <c r="J156" i="1"/>
  <c r="L161" i="1"/>
  <c r="J161" i="1"/>
  <c r="L150" i="1"/>
  <c r="J150" i="1"/>
  <c r="L159" i="1"/>
  <c r="J159" i="1"/>
  <c r="L151" i="1"/>
  <c r="J151" i="1"/>
  <c r="L163" i="1"/>
  <c r="J163" i="1"/>
  <c r="L154" i="1"/>
  <c r="J154" i="1"/>
  <c r="L149" i="1"/>
  <c r="J149" i="1"/>
  <c r="L157" i="1"/>
  <c r="J157" i="1"/>
  <c r="L160" i="1"/>
  <c r="J160" i="1"/>
  <c r="L155" i="1"/>
  <c r="J155" i="1"/>
  <c r="L148" i="1"/>
  <c r="J148" i="1"/>
  <c r="L152" i="1"/>
  <c r="J152" i="1"/>
  <c r="F25" i="1" l="1"/>
  <c r="F49" i="1"/>
  <c r="F10" i="1"/>
  <c r="F100" i="1"/>
  <c r="F137" i="1"/>
  <c r="F147" i="1"/>
  <c r="F24" i="1"/>
  <c r="F7" i="1"/>
  <c r="F89" i="1"/>
  <c r="F71" i="1"/>
  <c r="F64" i="1"/>
  <c r="F115" i="1"/>
  <c r="F55" i="1"/>
  <c r="F74" i="1"/>
  <c r="F129" i="1"/>
  <c r="F135" i="1"/>
  <c r="F146" i="1"/>
  <c r="F67" i="1"/>
  <c r="F46" i="1"/>
  <c r="F31" i="1"/>
  <c r="F56" i="1"/>
  <c r="F29" i="1"/>
  <c r="F73" i="1"/>
  <c r="F111" i="1"/>
  <c r="F81" i="1"/>
  <c r="F61" i="1"/>
  <c r="F45" i="1"/>
  <c r="F59" i="1"/>
  <c r="F21" i="1"/>
  <c r="F136" i="1"/>
  <c r="F107" i="1"/>
  <c r="F43" i="1"/>
  <c r="F138" i="1"/>
  <c r="F114" i="1"/>
  <c r="F106" i="1"/>
  <c r="F108" i="1"/>
  <c r="F33" i="1"/>
  <c r="F103" i="1"/>
  <c r="F38" i="1"/>
  <c r="F120" i="1"/>
  <c r="F28" i="1"/>
  <c r="F44" i="1"/>
  <c r="F18" i="1"/>
  <c r="F47" i="1"/>
  <c r="F139" i="1"/>
  <c r="F20" i="1"/>
  <c r="F60" i="1"/>
  <c r="F93" i="1"/>
  <c r="F77" i="1"/>
  <c r="F62" i="1"/>
  <c r="F36" i="1"/>
  <c r="F4" i="1"/>
  <c r="F124" i="1"/>
  <c r="F121" i="1"/>
  <c r="F86" i="1"/>
  <c r="F104" i="1"/>
  <c r="F123" i="1"/>
  <c r="F113" i="1"/>
  <c r="F126" i="1"/>
  <c r="F32" i="1"/>
  <c r="F87" i="1"/>
  <c r="F125" i="1"/>
  <c r="F109" i="1"/>
  <c r="F116" i="1"/>
  <c r="F66" i="1"/>
  <c r="F83" i="1"/>
  <c r="F51" i="1"/>
  <c r="F72" i="1"/>
  <c r="F84" i="1"/>
  <c r="F26" i="1"/>
  <c r="F122" i="1"/>
  <c r="F78" i="1"/>
  <c r="F131" i="1"/>
  <c r="F52" i="1"/>
  <c r="F140" i="1"/>
  <c r="F141" i="1"/>
  <c r="F118" i="1"/>
  <c r="F70" i="1"/>
  <c r="F94" i="1"/>
  <c r="F42" i="1"/>
  <c r="F22" i="1"/>
  <c r="F142" i="1"/>
  <c r="F132" i="1"/>
  <c r="F40" i="1"/>
  <c r="F143" i="1"/>
  <c r="F27" i="1"/>
  <c r="F102" i="1"/>
  <c r="F16" i="1"/>
  <c r="F130" i="1"/>
  <c r="F50" i="1"/>
  <c r="F119" i="1"/>
  <c r="F95" i="1"/>
  <c r="F3" i="1"/>
  <c r="F145" i="1"/>
  <c r="F39" i="1"/>
  <c r="F69" i="1"/>
  <c r="F90" i="1"/>
  <c r="F5" i="1"/>
  <c r="F41" i="1"/>
  <c r="F65" i="1"/>
  <c r="F75" i="1"/>
  <c r="F63" i="1"/>
  <c r="F53" i="1"/>
  <c r="F57" i="1"/>
  <c r="F76" i="1"/>
  <c r="F97" i="1"/>
  <c r="F82" i="1"/>
  <c r="F105" i="1"/>
  <c r="F54" i="1"/>
  <c r="F35" i="1"/>
  <c r="F91" i="1"/>
  <c r="F79" i="1"/>
  <c r="F12" i="1"/>
  <c r="F37" i="1"/>
  <c r="F6" i="1"/>
  <c r="F48" i="1"/>
  <c r="F88" i="1"/>
  <c r="F68" i="1"/>
  <c r="F110" i="1"/>
  <c r="F19" i="1"/>
  <c r="F101" i="1"/>
  <c r="F128" i="1"/>
  <c r="F15" i="1"/>
  <c r="F14" i="1"/>
  <c r="F11" i="1"/>
  <c r="F92" i="1"/>
  <c r="F133" i="1"/>
  <c r="F117" i="1"/>
  <c r="F13" i="1"/>
  <c r="F34" i="1"/>
  <c r="F58" i="1"/>
  <c r="F144" i="1"/>
  <c r="F134" i="1"/>
  <c r="F99" i="1"/>
  <c r="F80" i="1"/>
  <c r="F85" i="1"/>
  <c r="F112" i="1"/>
  <c r="G123" i="1" l="1"/>
  <c r="G47" i="1"/>
  <c r="G104" i="1"/>
  <c r="G119" i="1"/>
  <c r="G77" i="1"/>
  <c r="G62" i="1"/>
  <c r="G10" i="1"/>
  <c r="G105" i="1"/>
  <c r="G28" i="1"/>
  <c r="G145" i="1"/>
  <c r="G102" i="1"/>
  <c r="G7" i="1"/>
  <c r="G81" i="1"/>
  <c r="G89" i="1"/>
  <c r="G108" i="1"/>
  <c r="G38" i="1"/>
  <c r="G90" i="1"/>
  <c r="G109" i="1"/>
  <c r="G63" i="1"/>
  <c r="G21" i="1"/>
  <c r="G26" i="1"/>
  <c r="G135" i="1"/>
  <c r="M159" i="1"/>
  <c r="G67" i="1"/>
  <c r="G116" i="1"/>
  <c r="G126" i="1"/>
  <c r="G110" i="1"/>
  <c r="G144" i="1"/>
  <c r="G42" i="1"/>
  <c r="G33" i="1"/>
  <c r="G117" i="1"/>
  <c r="G65" i="1"/>
  <c r="G16" i="1"/>
  <c r="G94" i="1"/>
  <c r="G99" i="1"/>
  <c r="G112" i="1"/>
  <c r="G136" i="1"/>
  <c r="G143" i="1"/>
  <c r="G82" i="1"/>
  <c r="G121" i="1"/>
  <c r="M160" i="1"/>
  <c r="M158" i="1"/>
  <c r="G6" i="1"/>
  <c r="G73" i="1"/>
  <c r="G91" i="1"/>
  <c r="G27" i="1"/>
  <c r="G57" i="1"/>
  <c r="G11" i="1"/>
  <c r="G52" i="1"/>
  <c r="G56" i="1"/>
  <c r="G130" i="1"/>
  <c r="G86" i="1"/>
  <c r="M149" i="1"/>
  <c r="M162" i="1"/>
  <c r="G58" i="1"/>
  <c r="G20" i="1"/>
  <c r="G32" i="1"/>
  <c r="G85" i="1"/>
  <c r="G139" i="1"/>
  <c r="G101" i="1"/>
  <c r="G107" i="1"/>
  <c r="G48" i="1"/>
  <c r="G60" i="1"/>
  <c r="G114" i="1"/>
  <c r="G87" i="1"/>
  <c r="G22" i="1"/>
  <c r="G137" i="1"/>
  <c r="G64" i="1"/>
  <c r="G128" i="1"/>
  <c r="G55" i="1"/>
  <c r="G95" i="1"/>
  <c r="G46" i="1"/>
  <c r="G88" i="1"/>
  <c r="G14" i="1"/>
  <c r="G18" i="1"/>
  <c r="G84" i="1"/>
  <c r="G72" i="1"/>
  <c r="G43" i="1"/>
  <c r="G146" i="1"/>
  <c r="M150" i="1"/>
  <c r="M155" i="1"/>
  <c r="G122" i="1"/>
  <c r="G133" i="1"/>
  <c r="G132" i="1"/>
  <c r="G97" i="1"/>
  <c r="G36" i="1"/>
  <c r="G106" i="1"/>
  <c r="M161" i="1"/>
  <c r="G74" i="1"/>
  <c r="G140" i="1"/>
  <c r="M148" i="1"/>
  <c r="M152" i="1"/>
  <c r="G25" i="1"/>
  <c r="G147" i="1"/>
  <c r="G66" i="1"/>
  <c r="G51" i="1"/>
  <c r="M163" i="1"/>
  <c r="G12" i="1"/>
  <c r="G134" i="1"/>
  <c r="G141" i="1"/>
  <c r="G61" i="1"/>
  <c r="G93" i="1"/>
  <c r="G76" i="1"/>
  <c r="G4" i="1"/>
  <c r="M151" i="1"/>
  <c r="G118" i="1"/>
  <c r="G78" i="1"/>
  <c r="G80" i="1"/>
  <c r="G35" i="1"/>
  <c r="G13" i="1"/>
  <c r="G50" i="1"/>
  <c r="G103" i="1"/>
  <c r="G54" i="1"/>
  <c r="G44" i="1"/>
  <c r="G40" i="1"/>
  <c r="G59" i="1"/>
  <c r="G71" i="1"/>
  <c r="G79" i="1"/>
  <c r="G100" i="1"/>
  <c r="G75" i="1"/>
  <c r="G15" i="1"/>
  <c r="M156" i="1"/>
  <c r="G49" i="1"/>
  <c r="G19" i="1"/>
  <c r="G39" i="1"/>
  <c r="G5" i="1"/>
  <c r="G31" i="1"/>
  <c r="G111" i="1"/>
  <c r="G113" i="1"/>
  <c r="G125" i="1"/>
  <c r="G129" i="1"/>
  <c r="M154" i="1"/>
  <c r="G70" i="1"/>
  <c r="G142" i="1"/>
  <c r="G83" i="1"/>
  <c r="G92" i="1"/>
  <c r="G138" i="1"/>
  <c r="G69" i="1"/>
  <c r="G29" i="1"/>
  <c r="G41" i="1"/>
  <c r="G24" i="1"/>
  <c r="G34" i="1"/>
  <c r="G124" i="1"/>
  <c r="G37" i="1"/>
  <c r="G120" i="1"/>
  <c r="G68" i="1"/>
  <c r="G45" i="1"/>
  <c r="G53" i="1"/>
  <c r="G115" i="1"/>
  <c r="G131" i="1"/>
  <c r="M157" i="1"/>
  <c r="H13" i="1" l="1"/>
  <c r="H56" i="1"/>
  <c r="H121" i="1"/>
  <c r="H33" i="1"/>
  <c r="H21" i="1"/>
  <c r="H145" i="1"/>
  <c r="H42" i="1"/>
  <c r="H131" i="1"/>
  <c r="H55" i="1"/>
  <c r="H115" i="1"/>
  <c r="H113" i="1"/>
  <c r="H35" i="1"/>
  <c r="H146" i="1"/>
  <c r="H139" i="1"/>
  <c r="H63" i="1"/>
  <c r="H75" i="1"/>
  <c r="H101" i="1"/>
  <c r="H29" i="1"/>
  <c r="H100" i="1"/>
  <c r="H134" i="1"/>
  <c r="H74" i="1"/>
  <c r="H128" i="1"/>
  <c r="H52" i="1"/>
  <c r="H82" i="1"/>
  <c r="H28" i="1"/>
  <c r="H53" i="1"/>
  <c r="H69" i="1"/>
  <c r="H111" i="1"/>
  <c r="H79" i="1"/>
  <c r="H80" i="1"/>
  <c r="H12" i="1"/>
  <c r="H43" i="1"/>
  <c r="H64" i="1"/>
  <c r="H85" i="1"/>
  <c r="H11" i="1"/>
  <c r="H143" i="1"/>
  <c r="H144" i="1"/>
  <c r="H109" i="1"/>
  <c r="H105" i="1"/>
  <c r="H125" i="1"/>
  <c r="H141" i="1"/>
  <c r="H140" i="1"/>
  <c r="H138" i="1"/>
  <c r="H78" i="1"/>
  <c r="H136" i="1"/>
  <c r="H41" i="1"/>
  <c r="H45" i="1"/>
  <c r="H31" i="1"/>
  <c r="H71" i="1"/>
  <c r="H106" i="1"/>
  <c r="H72" i="1"/>
  <c r="H137" i="1"/>
  <c r="H32" i="1"/>
  <c r="H57" i="1"/>
  <c r="H110" i="1"/>
  <c r="H90" i="1"/>
  <c r="H10" i="1"/>
  <c r="H68" i="1"/>
  <c r="H92" i="1"/>
  <c r="H5" i="1"/>
  <c r="H59" i="1"/>
  <c r="H118" i="1"/>
  <c r="H51" i="1"/>
  <c r="H36" i="1"/>
  <c r="H84" i="1"/>
  <c r="H22" i="1"/>
  <c r="H20" i="1"/>
  <c r="H27" i="1"/>
  <c r="H112" i="1"/>
  <c r="H126" i="1"/>
  <c r="H38" i="1"/>
  <c r="H62" i="1"/>
  <c r="H120" i="1"/>
  <c r="H83" i="1"/>
  <c r="H39" i="1"/>
  <c r="H40" i="1"/>
  <c r="H66" i="1"/>
  <c r="H97" i="1"/>
  <c r="H18" i="1"/>
  <c r="H87" i="1"/>
  <c r="H58" i="1"/>
  <c r="H91" i="1"/>
  <c r="H99" i="1"/>
  <c r="H116" i="1"/>
  <c r="H108" i="1"/>
  <c r="H77" i="1"/>
  <c r="H37" i="1"/>
  <c r="H4" i="1"/>
  <c r="H67" i="1"/>
  <c r="H124" i="1"/>
  <c r="H70" i="1"/>
  <c r="H49" i="1"/>
  <c r="H54" i="1"/>
  <c r="H76" i="1"/>
  <c r="H25" i="1"/>
  <c r="H133" i="1"/>
  <c r="H88" i="1"/>
  <c r="H60" i="1"/>
  <c r="H6" i="1"/>
  <c r="H16" i="1"/>
  <c r="H81" i="1"/>
  <c r="H104" i="1"/>
  <c r="H142" i="1"/>
  <c r="H44" i="1"/>
  <c r="H132" i="1"/>
  <c r="H73" i="1"/>
  <c r="H89" i="1"/>
  <c r="H19" i="1"/>
  <c r="H147" i="1"/>
  <c r="H14" i="1"/>
  <c r="H114" i="1"/>
  <c r="H94" i="1"/>
  <c r="H119" i="1"/>
  <c r="H34" i="1"/>
  <c r="H103" i="1"/>
  <c r="H93" i="1"/>
  <c r="H122" i="1"/>
  <c r="H46" i="1"/>
  <c r="H48" i="1"/>
  <c r="H86" i="1"/>
  <c r="H65" i="1"/>
  <c r="H135" i="1"/>
  <c r="H7" i="1"/>
  <c r="H47" i="1"/>
  <c r="H24" i="1"/>
  <c r="H129" i="1"/>
  <c r="H15" i="1"/>
  <c r="H50" i="1"/>
  <c r="H61" i="1"/>
  <c r="H95" i="1"/>
  <c r="H107" i="1"/>
  <c r="H130" i="1"/>
  <c r="H117" i="1"/>
  <c r="H26" i="1"/>
  <c r="H102" i="1"/>
  <c r="H123" i="1"/>
  <c r="J54" i="1" l="1"/>
  <c r="J64" i="1"/>
  <c r="J104" i="1"/>
  <c r="J118" i="1"/>
  <c r="J114" i="1"/>
  <c r="J38" i="1"/>
  <c r="J74" i="1"/>
  <c r="J95" i="1"/>
  <c r="J87" i="1"/>
  <c r="J80" i="1"/>
  <c r="J71" i="1"/>
  <c r="J117" i="1"/>
  <c r="J146" i="1"/>
  <c r="J137" i="1"/>
  <c r="J65" i="1"/>
  <c r="J58" i="1"/>
  <c r="J113" i="1"/>
  <c r="J125" i="1"/>
  <c r="J61" i="1"/>
  <c r="J6" i="1"/>
  <c r="J112" i="1"/>
  <c r="J100" i="1"/>
  <c r="J50" i="1"/>
  <c r="J46" i="1"/>
  <c r="J19" i="1"/>
  <c r="J60" i="1"/>
  <c r="J4" i="1"/>
  <c r="J97" i="1"/>
  <c r="J27" i="1"/>
  <c r="J68" i="1"/>
  <c r="J31" i="1"/>
  <c r="J109" i="1"/>
  <c r="J111" i="1"/>
  <c r="J29" i="1"/>
  <c r="J131" i="1"/>
  <c r="J138" i="1"/>
  <c r="J142" i="1"/>
  <c r="J52" i="1"/>
  <c r="J130" i="1"/>
  <c r="J140" i="1"/>
  <c r="J70" i="1"/>
  <c r="J13" i="1"/>
  <c r="J86" i="1"/>
  <c r="J115" i="1"/>
  <c r="J48" i="1"/>
  <c r="J67" i="1"/>
  <c r="J92" i="1"/>
  <c r="J55" i="1"/>
  <c r="J122" i="1"/>
  <c r="J37" i="1"/>
  <c r="J20" i="1"/>
  <c r="J10" i="1"/>
  <c r="J45" i="1"/>
  <c r="J69" i="1"/>
  <c r="J101" i="1"/>
  <c r="J42" i="1"/>
  <c r="J119" i="1"/>
  <c r="J99" i="1"/>
  <c r="J32" i="1"/>
  <c r="J62" i="1"/>
  <c r="J81" i="1"/>
  <c r="J72" i="1"/>
  <c r="J134" i="1"/>
  <c r="J147" i="1"/>
  <c r="J18" i="1"/>
  <c r="J105" i="1"/>
  <c r="J79" i="1"/>
  <c r="J15" i="1"/>
  <c r="J89" i="1"/>
  <c r="J88" i="1"/>
  <c r="J66" i="1"/>
  <c r="J144" i="1"/>
  <c r="J120" i="1"/>
  <c r="J135" i="1"/>
  <c r="J59" i="1"/>
  <c r="J14" i="1"/>
  <c r="J124" i="1"/>
  <c r="J126" i="1"/>
  <c r="J123" i="1"/>
  <c r="J93" i="1"/>
  <c r="J133" i="1"/>
  <c r="J40" i="1"/>
  <c r="J22" i="1"/>
  <c r="J90" i="1"/>
  <c r="J41" i="1"/>
  <c r="J143" i="1"/>
  <c r="J53" i="1"/>
  <c r="J145" i="1"/>
  <c r="J102" i="1"/>
  <c r="J24" i="1"/>
  <c r="J103" i="1"/>
  <c r="J132" i="1"/>
  <c r="J25" i="1"/>
  <c r="J108" i="1"/>
  <c r="J39" i="1"/>
  <c r="J84" i="1"/>
  <c r="J110" i="1"/>
  <c r="J136" i="1"/>
  <c r="J11" i="1"/>
  <c r="J28" i="1"/>
  <c r="J63" i="1"/>
  <c r="J21" i="1"/>
  <c r="J7" i="1"/>
  <c r="J107" i="1"/>
  <c r="J141" i="1"/>
  <c r="J16" i="1"/>
  <c r="J106" i="1"/>
  <c r="J129" i="1"/>
  <c r="J73" i="1"/>
  <c r="J77" i="1"/>
  <c r="J75" i="1"/>
  <c r="J26" i="1"/>
  <c r="J47" i="1"/>
  <c r="J34" i="1"/>
  <c r="J44" i="1"/>
  <c r="J76" i="1"/>
  <c r="J116" i="1"/>
  <c r="J83" i="1"/>
  <c r="J36" i="1"/>
  <c r="J57" i="1"/>
  <c r="J78" i="1"/>
  <c r="J85" i="1"/>
  <c r="J82" i="1"/>
  <c r="J139" i="1"/>
  <c r="J33" i="1"/>
  <c r="J43" i="1"/>
  <c r="J12" i="1"/>
  <c r="J5" i="1"/>
  <c r="J51" i="1"/>
  <c r="J121" i="1"/>
  <c r="J94" i="1"/>
  <c r="J49" i="1"/>
  <c r="J91" i="1"/>
  <c r="J128" i="1"/>
  <c r="J35" i="1"/>
  <c r="J56" i="1"/>
  <c r="G3" i="1"/>
  <c r="L18" i="1" l="1"/>
  <c r="L90" i="1"/>
  <c r="L25" i="1"/>
  <c r="L84" i="1"/>
  <c r="L38" i="1"/>
  <c r="L135" i="1"/>
  <c r="L82" i="1"/>
  <c r="L47" i="1"/>
  <c r="L120" i="1"/>
  <c r="L24" i="1"/>
  <c r="L56" i="1"/>
  <c r="L76" i="1"/>
  <c r="L143" i="1"/>
  <c r="L42" i="1"/>
  <c r="L60" i="1"/>
  <c r="L35" i="1"/>
  <c r="L141" i="1"/>
  <c r="L39" i="1"/>
  <c r="L59" i="1"/>
  <c r="L101" i="1"/>
  <c r="L48" i="1"/>
  <c r="L108" i="1"/>
  <c r="L46" i="1"/>
  <c r="L134" i="1"/>
  <c r="L57" i="1"/>
  <c r="L6" i="1"/>
  <c r="L51" i="1"/>
  <c r="L73" i="1"/>
  <c r="L123" i="1"/>
  <c r="L122" i="1"/>
  <c r="L61" i="1"/>
  <c r="L14" i="1"/>
  <c r="L128" i="1"/>
  <c r="L107" i="1"/>
  <c r="L111" i="1"/>
  <c r="L121" i="1"/>
  <c r="L140" i="1"/>
  <c r="L36" i="1"/>
  <c r="L102" i="1"/>
  <c r="L89" i="1"/>
  <c r="L130" i="1"/>
  <c r="L27" i="1"/>
  <c r="L87" i="1"/>
  <c r="L5" i="1"/>
  <c r="L83" i="1"/>
  <c r="L129" i="1"/>
  <c r="L136" i="1"/>
  <c r="L145" i="1"/>
  <c r="L126" i="1"/>
  <c r="L15" i="1"/>
  <c r="L99" i="1"/>
  <c r="L55" i="1"/>
  <c r="L52" i="1"/>
  <c r="L97" i="1"/>
  <c r="L125" i="1"/>
  <c r="L95" i="1"/>
  <c r="L114" i="1"/>
  <c r="L118" i="1"/>
  <c r="L45" i="1"/>
  <c r="L80" i="1"/>
  <c r="L16" i="1"/>
  <c r="L41" i="1"/>
  <c r="L34" i="1"/>
  <c r="L147" i="1"/>
  <c r="L29" i="1"/>
  <c r="L86" i="1"/>
  <c r="L28" i="1"/>
  <c r="L68" i="1"/>
  <c r="L11" i="1"/>
  <c r="L32" i="1"/>
  <c r="L12" i="1"/>
  <c r="L106" i="1"/>
  <c r="L110" i="1"/>
  <c r="L53" i="1"/>
  <c r="L124" i="1"/>
  <c r="L79" i="1"/>
  <c r="L119" i="1"/>
  <c r="L92" i="1"/>
  <c r="L142" i="1"/>
  <c r="L4" i="1"/>
  <c r="L113" i="1"/>
  <c r="L74" i="1"/>
  <c r="L67" i="1"/>
  <c r="L44" i="1"/>
  <c r="L19" i="1"/>
  <c r="L139" i="1"/>
  <c r="L137" i="1"/>
  <c r="L104" i="1"/>
  <c r="L77" i="1"/>
  <c r="L93" i="1"/>
  <c r="L88" i="1"/>
  <c r="L62" i="1"/>
  <c r="L37" i="1"/>
  <c r="L116" i="1"/>
  <c r="L43" i="1"/>
  <c r="L58" i="1"/>
  <c r="L146" i="1"/>
  <c r="L49" i="1"/>
  <c r="L85" i="1"/>
  <c r="L26" i="1"/>
  <c r="L21" i="1"/>
  <c r="L132" i="1"/>
  <c r="L40" i="1"/>
  <c r="L144" i="1"/>
  <c r="L72" i="1"/>
  <c r="L10" i="1"/>
  <c r="L13" i="1"/>
  <c r="L109" i="1"/>
  <c r="L100" i="1"/>
  <c r="L117" i="1"/>
  <c r="L64" i="1"/>
  <c r="L138" i="1"/>
  <c r="L131" i="1"/>
  <c r="L69" i="1"/>
  <c r="L22" i="1"/>
  <c r="L105" i="1"/>
  <c r="L33" i="1"/>
  <c r="L65" i="1"/>
  <c r="L115" i="1"/>
  <c r="L91" i="1"/>
  <c r="L7" i="1"/>
  <c r="L50" i="1"/>
  <c r="L94" i="1"/>
  <c r="L78" i="1"/>
  <c r="L75" i="1"/>
  <c r="L63" i="1"/>
  <c r="L103" i="1"/>
  <c r="L133" i="1"/>
  <c r="L66" i="1"/>
  <c r="L81" i="1"/>
  <c r="L20" i="1"/>
  <c r="L70" i="1"/>
  <c r="L31" i="1"/>
  <c r="L112" i="1"/>
  <c r="L71" i="1"/>
  <c r="L54" i="1"/>
  <c r="M112" i="1" l="1"/>
  <c r="M97" i="1"/>
  <c r="M110" i="1"/>
  <c r="M138" i="1"/>
  <c r="M132" i="1"/>
  <c r="M62" i="1"/>
  <c r="M55" i="1"/>
  <c r="M70" i="1"/>
  <c r="M125" i="1"/>
  <c r="M107" i="1"/>
  <c r="M147" i="1"/>
  <c r="M111" i="1"/>
  <c r="M42" i="1"/>
  <c r="M52" i="1"/>
  <c r="M14" i="1"/>
  <c r="M64" i="1"/>
  <c r="M56" i="1"/>
  <c r="M99" i="1"/>
  <c r="M48" i="1"/>
  <c r="M80" i="1"/>
  <c r="M81" i="1"/>
  <c r="M26" i="1"/>
  <c r="M122" i="1"/>
  <c r="M115" i="1"/>
  <c r="M142" i="1"/>
  <c r="M123" i="1"/>
  <c r="M102" i="1"/>
  <c r="M145" i="1"/>
  <c r="M95" i="1"/>
  <c r="M19" i="1"/>
  <c r="M53" i="1"/>
  <c r="M144" i="1"/>
  <c r="M116" i="1"/>
  <c r="M67" i="1"/>
  <c r="M94" i="1"/>
  <c r="M108" i="1"/>
  <c r="M12" i="1"/>
  <c r="M130" i="1"/>
  <c r="M18" i="1"/>
  <c r="M21" i="1"/>
  <c r="M4" i="1"/>
  <c r="M66" i="1"/>
  <c r="M85" i="1"/>
  <c r="M45" i="1"/>
  <c r="M59" i="1"/>
  <c r="M11" i="1"/>
  <c r="M120" i="1"/>
  <c r="M109" i="1"/>
  <c r="M104" i="1"/>
  <c r="M92" i="1"/>
  <c r="M68" i="1"/>
  <c r="M118" i="1"/>
  <c r="M36" i="1"/>
  <c r="M47" i="1"/>
  <c r="M133" i="1"/>
  <c r="M65" i="1"/>
  <c r="M49" i="1"/>
  <c r="M73" i="1"/>
  <c r="M39" i="1"/>
  <c r="M135" i="1"/>
  <c r="M37" i="1"/>
  <c r="M143" i="1"/>
  <c r="M121" i="1"/>
  <c r="M84" i="1"/>
  <c r="M87" i="1"/>
  <c r="M46" i="1"/>
  <c r="M106" i="1"/>
  <c r="M27" i="1"/>
  <c r="M7" i="1"/>
  <c r="M113" i="1"/>
  <c r="M61" i="1"/>
  <c r="M16" i="1"/>
  <c r="M91" i="1"/>
  <c r="M93" i="1"/>
  <c r="M15" i="1"/>
  <c r="M117" i="1"/>
  <c r="M77" i="1"/>
  <c r="M126" i="1"/>
  <c r="M103" i="1"/>
  <c r="M137" i="1"/>
  <c r="M28" i="1"/>
  <c r="M140" i="1"/>
  <c r="M141" i="1"/>
  <c r="M114" i="1"/>
  <c r="M51" i="1"/>
  <c r="M82" i="1"/>
  <c r="M6" i="1"/>
  <c r="M71" i="1"/>
  <c r="M43" i="1"/>
  <c r="M69" i="1"/>
  <c r="M31" i="1"/>
  <c r="M50" i="1"/>
  <c r="M41" i="1"/>
  <c r="M20" i="1"/>
  <c r="M88" i="1"/>
  <c r="M32" i="1"/>
  <c r="M89" i="1"/>
  <c r="M24" i="1"/>
  <c r="M101" i="1"/>
  <c r="M100" i="1"/>
  <c r="M13" i="1"/>
  <c r="M119" i="1"/>
  <c r="H3" i="1"/>
  <c r="M33" i="1"/>
  <c r="M146" i="1"/>
  <c r="M136" i="1"/>
  <c r="M54" i="1"/>
  <c r="M105" i="1"/>
  <c r="M10" i="1"/>
  <c r="M58" i="1"/>
  <c r="M139" i="1"/>
  <c r="M79" i="1"/>
  <c r="M86" i="1"/>
  <c r="M129" i="1"/>
  <c r="M124" i="1"/>
  <c r="M60" i="1"/>
  <c r="M40" i="1"/>
  <c r="M128" i="1"/>
  <c r="M34" i="1"/>
  <c r="M76" i="1"/>
  <c r="M63" i="1"/>
  <c r="M22" i="1"/>
  <c r="M44" i="1"/>
  <c r="M5" i="1"/>
  <c r="M134" i="1"/>
  <c r="M131" i="1"/>
  <c r="M74" i="1"/>
  <c r="M90" i="1"/>
  <c r="M35" i="1"/>
  <c r="M72" i="1"/>
  <c r="M83" i="1"/>
  <c r="M75" i="1"/>
  <c r="M29" i="1"/>
  <c r="M57" i="1"/>
  <c r="M38" i="1"/>
  <c r="M78" i="1"/>
  <c r="M25" i="1"/>
  <c r="J3" i="1" l="1"/>
  <c r="L3" i="1" l="1"/>
  <c r="M3" i="1" l="1"/>
</calcChain>
</file>

<file path=xl/sharedStrings.xml><?xml version="1.0" encoding="utf-8"?>
<sst xmlns="http://schemas.openxmlformats.org/spreadsheetml/2006/main" count="3493" uniqueCount="947">
  <si>
    <t>AUTOMATICA - EXTRAIDA DO SISTEMA</t>
  </si>
  <si>
    <t>Cliente/Remetente</t>
  </si>
  <si>
    <t>Fabricante2</t>
  </si>
  <si>
    <t>Tipo Pessoa</t>
  </si>
  <si>
    <t>Tipo</t>
  </si>
  <si>
    <t>Status</t>
  </si>
  <si>
    <t>UF</t>
  </si>
  <si>
    <t>CFOP</t>
  </si>
  <si>
    <t>Qtde</t>
  </si>
  <si>
    <t>Qtde restante</t>
  </si>
  <si>
    <t>Qtde armazenada</t>
  </si>
  <si>
    <t>PU Entrada</t>
  </si>
  <si>
    <t>PU saída</t>
  </si>
  <si>
    <t>Custo</t>
  </si>
  <si>
    <t>Valor</t>
  </si>
  <si>
    <t>Valor ICMS BC</t>
  </si>
  <si>
    <t>Valor ICMS</t>
  </si>
  <si>
    <t>Valor ICMS Recuperável</t>
  </si>
  <si>
    <t>Valor FCP</t>
  </si>
  <si>
    <t>Valor ICMS ST BC</t>
  </si>
  <si>
    <t>Valor ICMS ST</t>
  </si>
  <si>
    <t>Valor FCP ST</t>
  </si>
  <si>
    <t>Valor DIFAL UF Origem</t>
  </si>
  <si>
    <t>Valor DIFAL UF Destino</t>
  </si>
  <si>
    <t>Valor FCP UF Destino</t>
  </si>
  <si>
    <t>Valor IPI BC</t>
  </si>
  <si>
    <t>Valor IPI</t>
  </si>
  <si>
    <t>Valor IPI Recuperável</t>
  </si>
  <si>
    <t>Valor PIS BC</t>
  </si>
  <si>
    <t>Valor PIS</t>
  </si>
  <si>
    <t>Valor PIS Recuperável</t>
  </si>
  <si>
    <t>Valor COFINS BC</t>
  </si>
  <si>
    <t>Valor COFINS</t>
  </si>
  <si>
    <t>Valor COFINS Recuperável</t>
  </si>
  <si>
    <t>Valor frete</t>
  </si>
  <si>
    <t>Valor outras despesas</t>
  </si>
  <si>
    <t>Informações Complementares</t>
  </si>
  <si>
    <t>Observação</t>
  </si>
  <si>
    <t>Representante</t>
  </si>
  <si>
    <t>Motivo</t>
  </si>
  <si>
    <t>Lote</t>
  </si>
  <si>
    <t>Validade</t>
  </si>
  <si>
    <t>LIBBS FARMACEUTICA LTDA</t>
  </si>
  <si>
    <t>HYUNDAI BIOLAND CO., LTD</t>
  </si>
  <si>
    <t>J</t>
  </si>
  <si>
    <t>Saída</t>
  </si>
  <si>
    <t>Confirmada</t>
  </si>
  <si>
    <t>SP</t>
  </si>
  <si>
    <t>5102</t>
  </si>
  <si>
    <t/>
  </si>
  <si>
    <t>Jéssica</t>
  </si>
  <si>
    <t>Saída Merc. Interno</t>
  </si>
  <si>
    <t>CHP1250929</t>
  </si>
  <si>
    <t>COSMO INDUSTRIA E COMERCIO DE COSMETICOS S.A</t>
  </si>
  <si>
    <t>SHANDONG FOCUSFREDA BIOTECH CO.,LTD</t>
  </si>
  <si>
    <t>Bruno</t>
  </si>
  <si>
    <t>25040912</t>
  </si>
  <si>
    <t>CALCULADA</t>
  </si>
  <si>
    <t>CODIGO SEM EMBALAGEM</t>
  </si>
  <si>
    <t>EMBALAGEM</t>
  </si>
  <si>
    <t>DESCRIÇÃO SEM EMBALAGEM</t>
  </si>
  <si>
    <t>CONCAT</t>
  </si>
  <si>
    <t>PREÇO DE LISTA DOLAR</t>
  </si>
  <si>
    <t>PREÇO DE LISTA REAL</t>
  </si>
  <si>
    <t>DESCONTO CONCEDIDO</t>
  </si>
  <si>
    <t>DESC %</t>
  </si>
  <si>
    <t>PREÇO NET</t>
  </si>
  <si>
    <t>PERCENTUAL DE COMISSÕES</t>
  </si>
  <si>
    <t>AJUSTE COMISSÃO</t>
  </si>
  <si>
    <t>COMISSÃO FINAL</t>
  </si>
  <si>
    <t>VALOR DE COMISSÃO</t>
  </si>
  <si>
    <t>FABRICANTE</t>
  </si>
  <si>
    <t>VENDA NET</t>
  </si>
  <si>
    <t>Código</t>
  </si>
  <si>
    <t>Descrição</t>
  </si>
  <si>
    <t>CEAN</t>
  </si>
  <si>
    <t>NCM</t>
  </si>
  <si>
    <t>Data</t>
  </si>
  <si>
    <t>Hora</t>
  </si>
  <si>
    <t>Unidade</t>
  </si>
  <si>
    <t>Categoria</t>
  </si>
  <si>
    <t>Subcategoria</t>
  </si>
  <si>
    <t>Pedido</t>
  </si>
  <si>
    <t>NF-e</t>
  </si>
  <si>
    <t>Chave de acesso NF-e</t>
  </si>
  <si>
    <t>DI</t>
  </si>
  <si>
    <t>(20 KG)</t>
  </si>
  <si>
    <t>008008003</t>
  </si>
  <si>
    <t>INNOVA CHARCOAL F-79 (20 KG)</t>
  </si>
  <si>
    <t>38249989</t>
  </si>
  <si>
    <t>10:45</t>
  </si>
  <si>
    <t>KG</t>
  </si>
  <si>
    <t>4500174939</t>
  </si>
  <si>
    <t>001/000022965</t>
  </si>
  <si>
    <t>35260123890658000111550010000229651359741385</t>
  </si>
  <si>
    <t>COLGATE PALMOLIVE INDUSTRIAL LTDA</t>
  </si>
  <si>
    <t>KPT (KOREA PARTICLE TECHNOLOGY)CO., LTD</t>
  </si>
  <si>
    <t>Carina</t>
  </si>
  <si>
    <t>K12C01-CF2545</t>
  </si>
  <si>
    <t>(5 KG)</t>
  </si>
  <si>
    <t>063004003</t>
  </si>
  <si>
    <t>MOISTSHIELD HA (5 KG)</t>
  </si>
  <si>
    <t>39139090</t>
  </si>
  <si>
    <t>15:40</t>
  </si>
  <si>
    <t>4500175503</t>
  </si>
  <si>
    <t>001/000022971</t>
  </si>
  <si>
    <t>35260123890658000111550010000229711359782488</t>
  </si>
  <si>
    <t>BOTICA COMERCIAL FARMACEUTICA LTDA</t>
  </si>
  <si>
    <t>IC BIO CO., LTD.</t>
  </si>
  <si>
    <t>BA</t>
  </si>
  <si>
    <t>6102</t>
  </si>
  <si>
    <t>MSTH-25091117</t>
  </si>
  <si>
    <t>15:35</t>
  </si>
  <si>
    <t>4500175502</t>
  </si>
  <si>
    <t>001/000022970</t>
  </si>
  <si>
    <t>35260123890658000111550010000229701359781310</t>
  </si>
  <si>
    <t>PR</t>
  </si>
  <si>
    <t>MSTH-25092418</t>
  </si>
  <si>
    <t>001004043</t>
  </si>
  <si>
    <t>EPS BRIGHT P (5 KG)</t>
  </si>
  <si>
    <t>13021999</t>
  </si>
  <si>
    <t>15:24</t>
  </si>
  <si>
    <t>4500174790</t>
  </si>
  <si>
    <t>001/000022969</t>
  </si>
  <si>
    <t>35260123890658000111550010000229691359779900</t>
  </si>
  <si>
    <t>CODIF TECHNOLOGIE NATURELLE</t>
  </si>
  <si>
    <t>F8345</t>
  </si>
  <si>
    <t>067004004</t>
  </si>
  <si>
    <t>ETHYL ASCORBIC ACID (20 KG)</t>
  </si>
  <si>
    <t>29362790</t>
  </si>
  <si>
    <t>15:03</t>
  </si>
  <si>
    <t>4500173113</t>
  </si>
  <si>
    <t>001/000022968</t>
  </si>
  <si>
    <t>35260123890658000111550010000229681359775443</t>
  </si>
  <si>
    <t>CHEMAXCEL CORPORATION</t>
  </si>
  <si>
    <t>20250912V</t>
  </si>
  <si>
    <t>(180 KG)</t>
  </si>
  <si>
    <t>007002001</t>
  </si>
  <si>
    <t>NATUROIL TRADITION SWEET ALMOND (180 KG)</t>
  </si>
  <si>
    <t>15159090</t>
  </si>
  <si>
    <t>13:46</t>
  </si>
  <si>
    <t>4500176363</t>
  </si>
  <si>
    <t>001/000022966</t>
  </si>
  <si>
    <t>35260123890658000111550010000229661359765559</t>
  </si>
  <si>
    <t>SAVOY INDUSTRIA DE COSMETICOS SA</t>
  </si>
  <si>
    <t>MPR - INDUSTRIA E COM. DE OLEOS VEGETAIS LTDA - ME</t>
  </si>
  <si>
    <t>GO</t>
  </si>
  <si>
    <t>6106</t>
  </si>
  <si>
    <t>254/03</t>
  </si>
  <si>
    <t>(1 KG)</t>
  </si>
  <si>
    <t>067004008</t>
  </si>
  <si>
    <t>SODIUM ASCORBYL PHOSPHATE (1 KG)</t>
  </si>
  <si>
    <t>14:06</t>
  </si>
  <si>
    <t>4500175094</t>
  </si>
  <si>
    <t>001/000022967</t>
  </si>
  <si>
    <t>35260123890658000111550010000229671359767648</t>
  </si>
  <si>
    <t>20250824</t>
  </si>
  <si>
    <t>030004040</t>
  </si>
  <si>
    <t>RESVERATROL NATURAL (1 KG)</t>
  </si>
  <si>
    <t>29072900</t>
  </si>
  <si>
    <t>13:17</t>
  </si>
  <si>
    <t>4500175628</t>
  </si>
  <si>
    <t>001/000022995</t>
  </si>
  <si>
    <t>35260123890658000111550010000229951359890592</t>
  </si>
  <si>
    <t>CO. INDUSTRIA E COMERCIO DE COSMETICOS LTDA</t>
  </si>
  <si>
    <t>SPEC CHEM INDUSTRY INC</t>
  </si>
  <si>
    <t>Enrico</t>
  </si>
  <si>
    <t>20250912</t>
  </si>
  <si>
    <t>001004079</t>
  </si>
  <si>
    <t>CYBRIGHT GP (1 KG)</t>
  </si>
  <si>
    <t>12:22</t>
  </si>
  <si>
    <t>4500175871</t>
  </si>
  <si>
    <t>001/000022991</t>
  </si>
  <si>
    <t>35260123890658000111550010000229911359886197</t>
  </si>
  <si>
    <t>BIOPHARCOS BIOTECNOLOGIA PHARMACEUTICA E COSMETICA LTDA</t>
  </si>
  <si>
    <t>F9773</t>
  </si>
  <si>
    <t>031004004</t>
  </si>
  <si>
    <t>HEXYL RESORCINOL (1 KG)</t>
  </si>
  <si>
    <t>12:03</t>
  </si>
  <si>
    <t>4500174465</t>
  </si>
  <si>
    <t>001/000022988</t>
  </si>
  <si>
    <t>35260123890658000111550010000229881359884571</t>
  </si>
  <si>
    <t>COSMETICA INDUSTRIAL REGAL LTDA</t>
  </si>
  <si>
    <t>RJ</t>
  </si>
  <si>
    <t>Andreia</t>
  </si>
  <si>
    <t>K014.1/25/08/019</t>
  </si>
  <si>
    <t>002004012</t>
  </si>
  <si>
    <t>OLIGO-HA (1 KG)</t>
  </si>
  <si>
    <t>11:22</t>
  </si>
  <si>
    <t>4500176344</t>
  </si>
  <si>
    <t>001/000022985</t>
  </si>
  <si>
    <t>35260123890658000111550010000229851359879703</t>
  </si>
  <si>
    <t>BRAINFARMA INDUSTRIA QUIMICA E FARMACEUTICA S/A</t>
  </si>
  <si>
    <t>OHA-172995</t>
  </si>
  <si>
    <t>008008001FJ</t>
  </si>
  <si>
    <t>INNOVA CHARCOAL POWDER 200 (1 KG)</t>
  </si>
  <si>
    <t>38021000</t>
  </si>
  <si>
    <t>12:07</t>
  </si>
  <si>
    <t>4500176358</t>
  </si>
  <si>
    <t>001/000022989</t>
  </si>
  <si>
    <t>35260123890658000111550010000229891359885150</t>
  </si>
  <si>
    <t>LABORATORIO IND. FARMACEUTICO LIFAR LTDA</t>
  </si>
  <si>
    <t>RS</t>
  </si>
  <si>
    <t>C46-CP2405</t>
  </si>
  <si>
    <t>(25 KG)</t>
  </si>
  <si>
    <t>026005004</t>
  </si>
  <si>
    <t>NATUREGREEN 20RS (25 KG)</t>
  </si>
  <si>
    <t>15211000</t>
  </si>
  <si>
    <t>11:31</t>
  </si>
  <si>
    <t>4500176165</t>
  </si>
  <si>
    <t>001/000022986</t>
  </si>
  <si>
    <t>35260123890658000111550010000229861359880334</t>
  </si>
  <si>
    <t>AROME COSMETICOS LTDA</t>
  </si>
  <si>
    <t>MG</t>
  </si>
  <si>
    <t>2201899</t>
  </si>
  <si>
    <t>12:29</t>
  </si>
  <si>
    <t>4500175813</t>
  </si>
  <si>
    <t>001/000022992</t>
  </si>
  <si>
    <t>35260123890658000111550010000229921359886798</t>
  </si>
  <si>
    <t>254/02</t>
  </si>
  <si>
    <t>023005001</t>
  </si>
  <si>
    <t>INNOVA SCRUB APRICOT (25 KG)</t>
  </si>
  <si>
    <t>12119090</t>
  </si>
  <si>
    <t>11:04</t>
  </si>
  <si>
    <t>4500176516</t>
  </si>
  <si>
    <t>001/000022983</t>
  </si>
  <si>
    <t>35260123890658000111550010000229831359876440</t>
  </si>
  <si>
    <t>DUOTRATO INDUSTRIA E COMERCIO DE COSMETICOS LTDA</t>
  </si>
  <si>
    <t>Thiago</t>
  </si>
  <si>
    <t>2858-289</t>
  </si>
  <si>
    <t>(10 KG)</t>
  </si>
  <si>
    <t>004003001</t>
  </si>
  <si>
    <t>INNOVA BN-5 PREMIUM (10 KG)</t>
  </si>
  <si>
    <t>28500010</t>
  </si>
  <si>
    <t>11:36</t>
  </si>
  <si>
    <t>4500176395</t>
  </si>
  <si>
    <t>001/000022987</t>
  </si>
  <si>
    <t>35260123890658000111550010000229871359881524</t>
  </si>
  <si>
    <t>DDP INDUSTRIA E COMERCIO LTDA</t>
  </si>
  <si>
    <t>HOCK CHEMIE (HK) ENTERPRISES PTE CO.</t>
  </si>
  <si>
    <t>2510767</t>
  </si>
  <si>
    <t>031004010</t>
  </si>
  <si>
    <t>DIAMINOPYRIMIDINE OXIDE (25 KG)</t>
  </si>
  <si>
    <t>29335999</t>
  </si>
  <si>
    <t>11:16</t>
  </si>
  <si>
    <t>4500176523</t>
  </si>
  <si>
    <t>001/000022984</t>
  </si>
  <si>
    <t>35260123890658000111550010000229841359878769</t>
  </si>
  <si>
    <t>GYP INDUSTRIA DE COSMETICOS EIRELI</t>
  </si>
  <si>
    <t>KUMAR ORGANIC PRODUCTS LTD</t>
  </si>
  <si>
    <t>ES</t>
  </si>
  <si>
    <t>K016.1/25/09/032</t>
  </si>
  <si>
    <t>005005001</t>
  </si>
  <si>
    <t>INNOVA SCRUB WALNUT (5 KG)</t>
  </si>
  <si>
    <t>15:38</t>
  </si>
  <si>
    <t>4500176322</t>
  </si>
  <si>
    <t>001/000022999</t>
  </si>
  <si>
    <t>35260123890658000111550010000229991359909640</t>
  </si>
  <si>
    <t>BELVITTA DERMOCOSMETICOS LTDA</t>
  </si>
  <si>
    <t>ECO SHELL INC</t>
  </si>
  <si>
    <t>5123</t>
  </si>
  <si>
    <t>071222</t>
  </si>
  <si>
    <t>(10 GR)</t>
  </si>
  <si>
    <t>067004019</t>
  </si>
  <si>
    <t>PDRN (POLYDEOXYRIBONUCLEOTIDE) (10 GR)</t>
  </si>
  <si>
    <t>29349939</t>
  </si>
  <si>
    <t>RN01-250806</t>
  </si>
  <si>
    <t>12:46</t>
  </si>
  <si>
    <t>4500176315</t>
  </si>
  <si>
    <t>001/000022993</t>
  </si>
  <si>
    <t>35260123890658000111550010000229931359887880</t>
  </si>
  <si>
    <t>FLAGIAN IMPORTACAO E EXPORTACAO LTDA</t>
  </si>
  <si>
    <t>001004050</t>
  </si>
  <si>
    <t>EARLY BOOST PE (1 KG)</t>
  </si>
  <si>
    <t>F7847</t>
  </si>
  <si>
    <t>10:03</t>
  </si>
  <si>
    <t>4500176496</t>
  </si>
  <si>
    <t>001/000022980</t>
  </si>
  <si>
    <t>35260123890658000111550010000229801359869850</t>
  </si>
  <si>
    <t>BIOVITAL IND E COM DE ESPEC. COSMECEUTICAS LTDA.</t>
  </si>
  <si>
    <t>001004114</t>
  </si>
  <si>
    <t>SAMPHIRA OIL BIOACTIVE (1 KG)</t>
  </si>
  <si>
    <t>09:56</t>
  </si>
  <si>
    <t>4500176308</t>
  </si>
  <si>
    <t>001/000022979</t>
  </si>
  <si>
    <t>35260123890658000111550010000229791359869190</t>
  </si>
  <si>
    <t>AVLFM INDUSTRIA DE COSMETICOS LTDA</t>
  </si>
  <si>
    <t>F7527</t>
  </si>
  <si>
    <t>001004071</t>
  </si>
  <si>
    <t>PHEOHYDRANE P (1 KG)</t>
  </si>
  <si>
    <t>09:52</t>
  </si>
  <si>
    <t>4500175614</t>
  </si>
  <si>
    <t>001/000022978</t>
  </si>
  <si>
    <t>35260123890658000111550010000229781359868901</t>
  </si>
  <si>
    <t>F9629</t>
  </si>
  <si>
    <t>008008001</t>
  </si>
  <si>
    <t>INNOVA CHARCOAL POWDER 200 (20 KG)</t>
  </si>
  <si>
    <t>10:25</t>
  </si>
  <si>
    <t>4500175717</t>
  </si>
  <si>
    <t>001/000022982</t>
  </si>
  <si>
    <t>35260123890658000111550010000229821359871719</t>
  </si>
  <si>
    <t>C46-CP2501</t>
  </si>
  <si>
    <t>10:12</t>
  </si>
  <si>
    <t>4500175424</t>
  </si>
  <si>
    <t>001/000022981</t>
  </si>
  <si>
    <t>35260123890658000111550010000229811359870502</t>
  </si>
  <si>
    <t>007002013</t>
  </si>
  <si>
    <t>NATUROIL AMAZON BABACU (180 KG)</t>
  </si>
  <si>
    <t>15132120</t>
  </si>
  <si>
    <t>16:06</t>
  </si>
  <si>
    <t>4500176214</t>
  </si>
  <si>
    <t>001/000023002</t>
  </si>
  <si>
    <t>35260123890658000111550010000230021359914064</t>
  </si>
  <si>
    <t>59/06</t>
  </si>
  <si>
    <t>030004027</t>
  </si>
  <si>
    <t>ASCORBIC ACID (25 KG)</t>
  </si>
  <si>
    <t>29362710</t>
  </si>
  <si>
    <t>15:55</t>
  </si>
  <si>
    <t>4500175451</t>
  </si>
  <si>
    <t>001/000023001</t>
  </si>
  <si>
    <t>35260123890658000111550010000230011359912080</t>
  </si>
  <si>
    <t>BIO SCIENTIFIC IND DE COSM LTDA</t>
  </si>
  <si>
    <t>20250621</t>
  </si>
  <si>
    <t>20240113</t>
  </si>
  <si>
    <t>002004013</t>
  </si>
  <si>
    <t>BIO-SODIUM HYALURONATE POWDER (HMW) (1 KG)</t>
  </si>
  <si>
    <t>12:49</t>
  </si>
  <si>
    <t>4500175418</t>
  </si>
  <si>
    <t>001/000023019</t>
  </si>
  <si>
    <t>35260123890658000111550010000230191360039004</t>
  </si>
  <si>
    <t>072004003FJ</t>
  </si>
  <si>
    <t>GLUCONOLACTONE (5 KG)</t>
  </si>
  <si>
    <t>29322000</t>
  </si>
  <si>
    <t>11:51</t>
  </si>
  <si>
    <t>4500175861</t>
  </si>
  <si>
    <t>001/000023014</t>
  </si>
  <si>
    <t>35260123890658000111550010000230141360030027</t>
  </si>
  <si>
    <t>DAHUER LABORATORIO LTDA</t>
  </si>
  <si>
    <t>HAIHANG INDUSTRY CO., LTD.</t>
  </si>
  <si>
    <t>SC</t>
  </si>
  <si>
    <t>20250819</t>
  </si>
  <si>
    <t>13:10</t>
  </si>
  <si>
    <t>4500176272</t>
  </si>
  <si>
    <t>001/000023021</t>
  </si>
  <si>
    <t>35260123890658000111550010000230211360041732</t>
  </si>
  <si>
    <t>BIOZER DA AMAZONIA IND E COM DE COSMET E FITOT LTDA</t>
  </si>
  <si>
    <t>AM</t>
  </si>
  <si>
    <t>6110</t>
  </si>
  <si>
    <t>001004055</t>
  </si>
  <si>
    <t>EARTH MARINE WATER GP (5 KG)</t>
  </si>
  <si>
    <t>25010090</t>
  </si>
  <si>
    <t>F3536</t>
  </si>
  <si>
    <t>026005059</t>
  </si>
  <si>
    <t>SYNSCRUB 164BLS (1 KG)</t>
  </si>
  <si>
    <t>34049029</t>
  </si>
  <si>
    <t>15:34</t>
  </si>
  <si>
    <t>4500176531</t>
  </si>
  <si>
    <t>001/000023028</t>
  </si>
  <si>
    <t>35260123890658000111550010000230281360072558</t>
  </si>
  <si>
    <t>SG INDUSTRIA E COMERCIO DE BOLSAS LTDA</t>
  </si>
  <si>
    <t>6123</t>
  </si>
  <si>
    <t>2200584</t>
  </si>
  <si>
    <t>030004007</t>
  </si>
  <si>
    <t>FERULIC ACID (1 KG)</t>
  </si>
  <si>
    <t>29182990</t>
  </si>
  <si>
    <t>11:29</t>
  </si>
  <si>
    <t>4500176158</t>
  </si>
  <si>
    <t>001/000023012</t>
  </si>
  <si>
    <t>35260123890658000111550010000230121360025584</t>
  </si>
  <si>
    <t>20250627</t>
  </si>
  <si>
    <t>072004003</t>
  </si>
  <si>
    <t>GLUCONOLACTONE (25 KG)</t>
  </si>
  <si>
    <t>13:01</t>
  </si>
  <si>
    <t>4500176017</t>
  </si>
  <si>
    <t>001/000023020</t>
  </si>
  <si>
    <t>35260123890658000111550010000230201360041123</t>
  </si>
  <si>
    <t>GLUCONOLACTONE (1 KG)</t>
  </si>
  <si>
    <t>065003007</t>
  </si>
  <si>
    <t>SILNOS 350 (1 KG)</t>
  </si>
  <si>
    <t>28112290</t>
  </si>
  <si>
    <t>13:42</t>
  </si>
  <si>
    <t>4500175016</t>
  </si>
  <si>
    <t>001/000023026</t>
  </si>
  <si>
    <t>35260123890658000111550010000230261360047060</t>
  </si>
  <si>
    <t>NUTRIFARM DO BRASIL IMP E EXP DE ING LTDA</t>
  </si>
  <si>
    <t>ABC NANOTECH CO., LTD</t>
  </si>
  <si>
    <t>SB-215735019B</t>
  </si>
  <si>
    <t>001004010</t>
  </si>
  <si>
    <t>NEUROLIGHT 61G (5 KG)</t>
  </si>
  <si>
    <t>13:25</t>
  </si>
  <si>
    <t>4500175882</t>
  </si>
  <si>
    <t>001/000023023</t>
  </si>
  <si>
    <t>35260123890658000111550010000230231360043985</t>
  </si>
  <si>
    <t>F9441</t>
  </si>
  <si>
    <t>008014002</t>
  </si>
  <si>
    <t>INNOVA SPHERE P5-GO12 (1 KG)</t>
  </si>
  <si>
    <t>13:35</t>
  </si>
  <si>
    <t>4500175209</t>
  </si>
  <si>
    <t>001/000023025</t>
  </si>
  <si>
    <t>35260123890658000111550010000230251360046059</t>
  </si>
  <si>
    <t>K9C08-GP2505</t>
  </si>
  <si>
    <t>002004041</t>
  </si>
  <si>
    <t>JMSW ED (5 KG)</t>
  </si>
  <si>
    <t>13:32</t>
  </si>
  <si>
    <t>4500176242</t>
  </si>
  <si>
    <t>001/000023024</t>
  </si>
  <si>
    <t>35260123890658000111550010000230241360044920</t>
  </si>
  <si>
    <t>SBDAE-012755</t>
  </si>
  <si>
    <t>001004001</t>
  </si>
  <si>
    <t>3M3 LIGHTERIS G (1 KG)</t>
  </si>
  <si>
    <t>14:08</t>
  </si>
  <si>
    <t>4500176548</t>
  </si>
  <si>
    <t>001/000023027</t>
  </si>
  <si>
    <t>35260123890658000111550010000230271360057497</t>
  </si>
  <si>
    <t>F8559</t>
  </si>
  <si>
    <t>F9144</t>
  </si>
  <si>
    <t>001004005</t>
  </si>
  <si>
    <t>EPIDERMIST P 1.5 (1 KG)</t>
  </si>
  <si>
    <t>F6596</t>
  </si>
  <si>
    <t>002004001</t>
  </si>
  <si>
    <t>PORTULACA EXTRACT (5 KG)</t>
  </si>
  <si>
    <t>NMP-L-751875</t>
  </si>
  <si>
    <t>002004062FJ</t>
  </si>
  <si>
    <t>MUSAP (1 KG)</t>
  </si>
  <si>
    <t>DFKWK-030685</t>
  </si>
  <si>
    <t>067004010</t>
  </si>
  <si>
    <t>INNOVASENSE HOT FEEL (1 KG)</t>
  </si>
  <si>
    <t>29095090</t>
  </si>
  <si>
    <t>12:33</t>
  </si>
  <si>
    <t>4500176551</t>
  </si>
  <si>
    <t>001/000023017</t>
  </si>
  <si>
    <t>35260123890658000111550010000230171360036736</t>
  </si>
  <si>
    <t>DERMABEAUTY COSMETICOS EIRELI - EPP</t>
  </si>
  <si>
    <t>TS20250425</t>
  </si>
  <si>
    <t>002004119</t>
  </si>
  <si>
    <t>RICE PDRN (ED) (1 KG)</t>
  </si>
  <si>
    <t>10:24</t>
  </si>
  <si>
    <t>4500175995</t>
  </si>
  <si>
    <t>001/000023032</t>
  </si>
  <si>
    <t>35260123890658000111550010000230321360196470</t>
  </si>
  <si>
    <t>ASAM INDUSTRIA E COMERCIO, IMPORTACAO DE COSMETICOS LTDA</t>
  </si>
  <si>
    <t>BRMI-032705</t>
  </si>
  <si>
    <t>090004028</t>
  </si>
  <si>
    <t>WKPEP WATEREN (1 KG)</t>
  </si>
  <si>
    <t>29371990</t>
  </si>
  <si>
    <t>SHENZHEN WINKEY TECHNOLOGY CO., LTD</t>
  </si>
  <si>
    <t>WKWT250401</t>
  </si>
  <si>
    <t>002004121</t>
  </si>
  <si>
    <t>CENTELLA PHYTO-EXOSOME (5 KG)</t>
  </si>
  <si>
    <t>CPEM-050485</t>
  </si>
  <si>
    <t>002004118</t>
  </si>
  <si>
    <t>GXHA (5 KG)</t>
  </si>
  <si>
    <t>PRODUTO DE AMOSTRA</t>
  </si>
  <si>
    <t>AMOSTRA</t>
  </si>
  <si>
    <t>HAGX-071715</t>
  </si>
  <si>
    <t>030004010</t>
  </si>
  <si>
    <t>ASCORBYL GLUCOSIDE (1 KG)</t>
  </si>
  <si>
    <t>10:33</t>
  </si>
  <si>
    <t>4500176397</t>
  </si>
  <si>
    <t>001/000023033</t>
  </si>
  <si>
    <t>35260123890658000111550010000230331360198373</t>
  </si>
  <si>
    <t>NANOSCOPING - SOLUCOES EM NANOTECNOLOGIA LTDA</t>
  </si>
  <si>
    <t>20250805</t>
  </si>
  <si>
    <t>10:42</t>
  </si>
  <si>
    <t>4500176543</t>
  </si>
  <si>
    <t>001/000023034</t>
  </si>
  <si>
    <t>35260123890658000111550010000230341360200022</t>
  </si>
  <si>
    <t>D  F COSMETICOS LTDA</t>
  </si>
  <si>
    <t>F9293</t>
  </si>
  <si>
    <t>090004058</t>
  </si>
  <si>
    <t>WINPEP DECATIDE (1 KG)</t>
  </si>
  <si>
    <t>WKDE250501</t>
  </si>
  <si>
    <t>WKDE250901</t>
  </si>
  <si>
    <t>WKDE251001</t>
  </si>
  <si>
    <t>BRMI-040515</t>
  </si>
  <si>
    <t>4500176104</t>
  </si>
  <si>
    <t>001/000023040</t>
  </si>
  <si>
    <t>35260123890658000111550010000230401360212478</t>
  </si>
  <si>
    <t>11:08</t>
  </si>
  <si>
    <t>4500176425</t>
  </si>
  <si>
    <t>001/000023054</t>
  </si>
  <si>
    <t>35260123890658000111550010000230541360406677</t>
  </si>
  <si>
    <t>4500175819</t>
  </si>
  <si>
    <t>001/000023056</t>
  </si>
  <si>
    <t>35260123890658000111550010000230561360412922</t>
  </si>
  <si>
    <t>JOY.A CLEAN BEAUTY LTDA</t>
  </si>
  <si>
    <t>5119</t>
  </si>
  <si>
    <t>002004040</t>
  </si>
  <si>
    <t>BIO CTP-500 (5 KG)</t>
  </si>
  <si>
    <t>10:37</t>
  </si>
  <si>
    <t>4500176237</t>
  </si>
  <si>
    <t>001/000023051</t>
  </si>
  <si>
    <t>35260123890658000111550010000230511360400324</t>
  </si>
  <si>
    <t>SOL INDUSTRIA DE COSMETICOS LTDA</t>
  </si>
  <si>
    <t>BOPN-030895</t>
  </si>
  <si>
    <t>(9 KG)</t>
  </si>
  <si>
    <t>061004004</t>
  </si>
  <si>
    <t>BIO-SODIUM HYALURONATE 1% SOLUTION (9 KG)</t>
  </si>
  <si>
    <t>11:25</t>
  </si>
  <si>
    <t>4500176565</t>
  </si>
  <si>
    <t>001/000023055</t>
  </si>
  <si>
    <t>35260123890658000111550010000230551360410531</t>
  </si>
  <si>
    <t>EXAT BEL INDUSTRIA E COMERCIO DE COSMETICOS LTDA</t>
  </si>
  <si>
    <t>20256286</t>
  </si>
  <si>
    <t>067004017FJ</t>
  </si>
  <si>
    <t>NIACINAMIDE (1 KG)</t>
  </si>
  <si>
    <t>29362952</t>
  </si>
  <si>
    <t>10:48</t>
  </si>
  <si>
    <t>4500176566</t>
  </si>
  <si>
    <t>001/000023053</t>
  </si>
  <si>
    <t>35260123890658000111550010000230531360402666</t>
  </si>
  <si>
    <t>VIVER INDUSTRIA E COMERCIO DE COSMETICOS LTDA</t>
  </si>
  <si>
    <t>P01512507017</t>
  </si>
  <si>
    <t>030004006FJ</t>
  </si>
  <si>
    <t>MANDELIC ACID (1 KG)</t>
  </si>
  <si>
    <t>29181929</t>
  </si>
  <si>
    <t>20241012</t>
  </si>
  <si>
    <t>004003017</t>
  </si>
  <si>
    <t>BN 11 (1 KG)</t>
  </si>
  <si>
    <t>08:55</t>
  </si>
  <si>
    <t>4500176572</t>
  </si>
  <si>
    <t>001/000023047</t>
  </si>
  <si>
    <t>35260123890658000111550010000230471360388690</t>
  </si>
  <si>
    <t>LUBRICHEMICAL INDUSTRIA E COMERCIO DE LUBRIFICANTES LTDA</t>
  </si>
  <si>
    <t>230729</t>
  </si>
  <si>
    <t>090004001</t>
  </si>
  <si>
    <t>WKPEP LIP-THICKENIN (1 KG)</t>
  </si>
  <si>
    <t>13:56</t>
  </si>
  <si>
    <t>4500176059</t>
  </si>
  <si>
    <t>001/000023061</t>
  </si>
  <si>
    <t>35260123890658000111550010000230611360445332</t>
  </si>
  <si>
    <t>INDUSTRIA E COMERCIO DE COSMETICOS NATURA LTDA</t>
  </si>
  <si>
    <t>WKLP250704</t>
  </si>
  <si>
    <t>030004008</t>
  </si>
  <si>
    <t>TRANEXAMIC ACID (25 KG)</t>
  </si>
  <si>
    <t>29224990</t>
  </si>
  <si>
    <t>11:45</t>
  </si>
  <si>
    <t>4500176172</t>
  </si>
  <si>
    <t>001/000023069</t>
  </si>
  <si>
    <t>35260123890658000111550010000230691361738102</t>
  </si>
  <si>
    <t>20250522</t>
  </si>
  <si>
    <t>030004015FJ</t>
  </si>
  <si>
    <t>GLYCOLIC ACID 70% (5 KG)</t>
  </si>
  <si>
    <t>29181990</t>
  </si>
  <si>
    <t>10:28</t>
  </si>
  <si>
    <t>4500176441</t>
  </si>
  <si>
    <t>001/000023067</t>
  </si>
  <si>
    <t>35260123890658000111550010000230671361723305</t>
  </si>
  <si>
    <t>NAZCA COSMETICOS INDUSTRIA E COMERCIO LTDA</t>
  </si>
  <si>
    <t>20250509</t>
  </si>
  <si>
    <t>(800 GR)</t>
  </si>
  <si>
    <t>025004001</t>
  </si>
  <si>
    <t>DENATONIUM BENZOATE SOLUTION 25% w/w ETHANOL Abs (800 GR)</t>
  </si>
  <si>
    <t>29242996</t>
  </si>
  <si>
    <t>10:08</t>
  </si>
  <si>
    <t>4500176535</t>
  </si>
  <si>
    <t>001/000023066</t>
  </si>
  <si>
    <t>35260123890658000111550010000230661361722026</t>
  </si>
  <si>
    <t>CORALINA INDUSTRIA E COMERCIO DE COSMETICOS LTDA</t>
  </si>
  <si>
    <t>SENTINALCO SA</t>
  </si>
  <si>
    <t>MEL-03A-0185</t>
  </si>
  <si>
    <t>TRANEXAMIC ACID (1 KG)</t>
  </si>
  <si>
    <t>030004060</t>
  </si>
  <si>
    <t>MALTOBIONIC ACID (1 KG)</t>
  </si>
  <si>
    <t>29329999</t>
  </si>
  <si>
    <t>20250508</t>
  </si>
  <si>
    <t>(250 KG)</t>
  </si>
  <si>
    <t>030004015</t>
  </si>
  <si>
    <t>GLYCOLIC ACID 70% (250 KG)</t>
  </si>
  <si>
    <t>(55 KG)</t>
  </si>
  <si>
    <t>026005001</t>
  </si>
  <si>
    <t>NATURESCRUB H20 (55 KG)</t>
  </si>
  <si>
    <t>15162000</t>
  </si>
  <si>
    <t>4500174023</t>
  </si>
  <si>
    <t>001/000023071</t>
  </si>
  <si>
    <t>35260123890658000111550010000230711361758306</t>
  </si>
  <si>
    <t>MICRO POWDERS, INC</t>
  </si>
  <si>
    <t>W70391Z</t>
  </si>
  <si>
    <t>GLYCOLIC ACID 70% (25 KG)</t>
  </si>
  <si>
    <t>030004008FJ</t>
  </si>
  <si>
    <t>20250324</t>
  </si>
  <si>
    <t>026005051</t>
  </si>
  <si>
    <t>NATURESCRUB H50 (55 KG)</t>
  </si>
  <si>
    <t>13:34</t>
  </si>
  <si>
    <t>4500175401</t>
  </si>
  <si>
    <t>001/000023073</t>
  </si>
  <si>
    <t>35260123890658000111550010000230731361760313</t>
  </si>
  <si>
    <t>W70494Z</t>
  </si>
  <si>
    <t>13:21</t>
  </si>
  <si>
    <t>4500175775</t>
  </si>
  <si>
    <t>001/000023070</t>
  </si>
  <si>
    <t>35260123890658000111550010000230701361757370</t>
  </si>
  <si>
    <t>13:28</t>
  </si>
  <si>
    <t>4500174335</t>
  </si>
  <si>
    <t>001/000023072</t>
  </si>
  <si>
    <t>35260123890658000111550010000230721361759237</t>
  </si>
  <si>
    <t>004003009</t>
  </si>
  <si>
    <t>INNOVA SERICITE M5 (10 KG)</t>
  </si>
  <si>
    <t>25252000</t>
  </si>
  <si>
    <t>11:50</t>
  </si>
  <si>
    <t>4500175897</t>
  </si>
  <si>
    <t>001/000023084</t>
  </si>
  <si>
    <t>35260123890658000111550010000230841361926924</t>
  </si>
  <si>
    <t>WECKERLE DO BRASIL LTDA</t>
  </si>
  <si>
    <t>25S102</t>
  </si>
  <si>
    <t>030004051</t>
  </si>
  <si>
    <t>Y-POLYGLUTAMIC ACID (700KDA) - MMW (1 KG)</t>
  </si>
  <si>
    <t>10:07</t>
  </si>
  <si>
    <t>4500176145</t>
  </si>
  <si>
    <t>001/000023078</t>
  </si>
  <si>
    <t>35260123890658000111550010000230781361913272</t>
  </si>
  <si>
    <t>NATURELLE IND E COM DE PRODUTOS NATURAIS LTDA</t>
  </si>
  <si>
    <t>20250825</t>
  </si>
  <si>
    <t>11:57</t>
  </si>
  <si>
    <t>4500174359</t>
  </si>
  <si>
    <t>001/000023085</t>
  </si>
  <si>
    <t>35260123890658000111550010000230851361929106</t>
  </si>
  <si>
    <t>20250613</t>
  </si>
  <si>
    <t>067004016</t>
  </si>
  <si>
    <t>SALICYLIC ACID (25 KG)</t>
  </si>
  <si>
    <t>29182110</t>
  </si>
  <si>
    <t>H5008202509001</t>
  </si>
  <si>
    <t>NEUROLIGHT 61G (1 KG)</t>
  </si>
  <si>
    <t>10:31</t>
  </si>
  <si>
    <t>4500176153</t>
  </si>
  <si>
    <t>001/000023095</t>
  </si>
  <si>
    <t>35260123890658000111550010000230951362095817</t>
  </si>
  <si>
    <t>SANTA TEREZINHA INDUSTRIA E COMERCIO LTDA</t>
  </si>
  <si>
    <t>F9044</t>
  </si>
  <si>
    <t>090004023</t>
  </si>
  <si>
    <t>WKPEP AKINE (1 KG)</t>
  </si>
  <si>
    <t>11:01</t>
  </si>
  <si>
    <t>4500176360</t>
  </si>
  <si>
    <t>001/000023097</t>
  </si>
  <si>
    <t>35260123890658000111550010000230971362100459</t>
  </si>
  <si>
    <t>INTERCOS DO BRASIL IND E COM DE PROD COSMETICOS LTDA</t>
  </si>
  <si>
    <t>WKAK230901</t>
  </si>
  <si>
    <t>007002026</t>
  </si>
  <si>
    <t>NATUROIL TRADITION LINSEED (20 KG)</t>
  </si>
  <si>
    <t>4500176439</t>
  </si>
  <si>
    <t>001/000023096</t>
  </si>
  <si>
    <t>35260123890658000111550010000230961362096381</t>
  </si>
  <si>
    <t>VIA AROMA IND. DE AROMATIZADORES DE AMBIENTE LTDA</t>
  </si>
  <si>
    <t>30/03</t>
  </si>
  <si>
    <t>11:06</t>
  </si>
  <si>
    <t>4500176503</t>
  </si>
  <si>
    <t>001/000023098</t>
  </si>
  <si>
    <t>35260123890658000111550010000230981362102700</t>
  </si>
  <si>
    <t>NATU CHARM INDUSTRIA E COMERCIO DE COSMETICOS LTDA</t>
  </si>
  <si>
    <t>NATUROIL TRADITION SWEET ALMOND (20 KG)</t>
  </si>
  <si>
    <t>(500 GR)</t>
  </si>
  <si>
    <t>030004095</t>
  </si>
  <si>
    <t>SPONGE SPICULE (500 GR)</t>
  </si>
  <si>
    <t>15:12</t>
  </si>
  <si>
    <t>4500175852</t>
  </si>
  <si>
    <t>001/000023101</t>
  </si>
  <si>
    <t>35260123890658000111550010000231011362141354</t>
  </si>
  <si>
    <t>INDUSTRIA DE COSMETICOS ADELIA MENDONCA LTDA</t>
  </si>
  <si>
    <t>20250809</t>
  </si>
  <si>
    <t>001004069</t>
  </si>
  <si>
    <t>PHORMISKIN BIOPROTECH G (1 KG)</t>
  </si>
  <si>
    <t>F7484</t>
  </si>
  <si>
    <t>030004106</t>
  </si>
  <si>
    <t>SHIKIMIC ACID (1 KG)</t>
  </si>
  <si>
    <t>20250726</t>
  </si>
  <si>
    <t>031004013</t>
  </si>
  <si>
    <t>PIROCTONE OLAMINE (25 KG)</t>
  </si>
  <si>
    <t>29333989</t>
  </si>
  <si>
    <t>11:18</t>
  </si>
  <si>
    <t>4500175120</t>
  </si>
  <si>
    <t>001/000023099</t>
  </si>
  <si>
    <t>35260123890658000111550010000230991362104602</t>
  </si>
  <si>
    <t>K017/25/04/D096</t>
  </si>
  <si>
    <t>030004003</t>
  </si>
  <si>
    <t>KOJIC ACID (1 KG)</t>
  </si>
  <si>
    <t>10:26</t>
  </si>
  <si>
    <t>4500176617</t>
  </si>
  <si>
    <t>001/000023094</t>
  </si>
  <si>
    <t>35260123890658000111550010000230941362095020</t>
  </si>
  <si>
    <t>20250510</t>
  </si>
  <si>
    <t>008014068FJ</t>
  </si>
  <si>
    <t>INNOVA SPHERE S5-JA45 (1 KG)</t>
  </si>
  <si>
    <t>11:43</t>
  </si>
  <si>
    <t>4500175605</t>
  </si>
  <si>
    <t>001/000023111</t>
  </si>
  <si>
    <t>35260123890658000111550010000231111362348990</t>
  </si>
  <si>
    <t>PRO NOVA INDUSTRIA E COMERCIO EIRELI EPP</t>
  </si>
  <si>
    <t>K7C20-SJ2501</t>
  </si>
  <si>
    <t>001004129</t>
  </si>
  <si>
    <t>PANTODIUM CICA PENT (1 KG)</t>
  </si>
  <si>
    <t>11:32</t>
  </si>
  <si>
    <t>4500176560</t>
  </si>
  <si>
    <t>001/000023109</t>
  </si>
  <si>
    <t>35260123890658000111550010000231091362347287</t>
  </si>
  <si>
    <t>CASA GRANADO LABORATORIOS FARMACIAS E DROGARIAS S A</t>
  </si>
  <si>
    <t>F9452</t>
  </si>
  <si>
    <t>067004001FJ</t>
  </si>
  <si>
    <t>12:35</t>
  </si>
  <si>
    <t>4500176602</t>
  </si>
  <si>
    <t>001/000023116</t>
  </si>
  <si>
    <t>35260123890658000111550010000231161362357783</t>
  </si>
  <si>
    <t>YUZI INDUSTRIA DE COSMETICOS LTDA</t>
  </si>
  <si>
    <t>F0022325339</t>
  </si>
  <si>
    <t>077004003FJ</t>
  </si>
  <si>
    <t>OLICONEW-8106 (1 KG)</t>
  </si>
  <si>
    <t>325060732</t>
  </si>
  <si>
    <t>11:39</t>
  </si>
  <si>
    <t>4500176613</t>
  </si>
  <si>
    <t>001/000023110</t>
  </si>
  <si>
    <t>35260123890658000111550010000231101362348411</t>
  </si>
  <si>
    <t>NEW CONCEPT INDUSTRIA E COMERCIO DE COSMETICOS EIRELI</t>
  </si>
  <si>
    <t>008014001FJ</t>
  </si>
  <si>
    <t>INNOVA SPHERE F5-BL45 (1 KG)</t>
  </si>
  <si>
    <t>11:46</t>
  </si>
  <si>
    <t>4500176614</t>
  </si>
  <si>
    <t>001/000023112</t>
  </si>
  <si>
    <t>35260123890658000111550010000231121362349749</t>
  </si>
  <si>
    <t>COSMETIC GROUP INDUSTRIA E COMERCIO DE COSMETICOS LTDA</t>
  </si>
  <si>
    <t>K10C21-SB2504</t>
  </si>
  <si>
    <t>030004006</t>
  </si>
  <si>
    <t>MANDELIC ACID (25 KG)</t>
  </si>
  <si>
    <t>12:26</t>
  </si>
  <si>
    <t>4500176616</t>
  </si>
  <si>
    <t>001/000023115</t>
  </si>
  <si>
    <t>35260123890658000111550010000231151362356240</t>
  </si>
  <si>
    <t>SENSELLES INDUSTRIA E COMERCIO DE COSMETICOS EIRELI</t>
  </si>
  <si>
    <t>066004001</t>
  </si>
  <si>
    <t>SALICAP CSA (1 KG)</t>
  </si>
  <si>
    <t>29182300</t>
  </si>
  <si>
    <t>12:09</t>
  </si>
  <si>
    <t>4500176626</t>
  </si>
  <si>
    <t>001/000023114</t>
  </si>
  <si>
    <t>35260123890658000111550010000231141362353481</t>
  </si>
  <si>
    <t>ADHONAI INDUSTRIA E COMERCIO LTDA</t>
  </si>
  <si>
    <t>SALICYLATES  CHEMICALS PVT. LTD.,</t>
  </si>
  <si>
    <t>Tania</t>
  </si>
  <si>
    <t>001/CSA/0225</t>
  </si>
  <si>
    <t>036004001</t>
  </si>
  <si>
    <t>ZINC PYRITHIONE 50% (20 KG)</t>
  </si>
  <si>
    <t>38089299</t>
  </si>
  <si>
    <t>IPEL ITIBANYL PRODUTOS ESPECIAIS LTDA</t>
  </si>
  <si>
    <t>136579</t>
  </si>
  <si>
    <t>090004005</t>
  </si>
  <si>
    <t>WKPEP SAWMPEPTIDES (1 KG)</t>
  </si>
  <si>
    <t>10:35</t>
  </si>
  <si>
    <t>4500176198</t>
  </si>
  <si>
    <t>001/000023105</t>
  </si>
  <si>
    <t>35260123890658000111550010000231051362337061</t>
  </si>
  <si>
    <t>WKSK251201</t>
  </si>
  <si>
    <t>(100 GR)</t>
  </si>
  <si>
    <t>PDRN (POLYDEOXYRIBONUCLEOTIDE) (100 GR)</t>
  </si>
  <si>
    <t>10:22</t>
  </si>
  <si>
    <t>4500174160</t>
  </si>
  <si>
    <t>001/000023104</t>
  </si>
  <si>
    <t>35260123890658000111550010000231041362336092</t>
  </si>
  <si>
    <t>RN01-250626</t>
  </si>
  <si>
    <t>031004013FJ</t>
  </si>
  <si>
    <t>PIROCTONE OLAMINE (1 KG)</t>
  </si>
  <si>
    <t>11:02</t>
  </si>
  <si>
    <t>4500174983</t>
  </si>
  <si>
    <t>001/000023107</t>
  </si>
  <si>
    <t>35260123890658000111550010000231071362341675</t>
  </si>
  <si>
    <t>10:49</t>
  </si>
  <si>
    <t>4500174956</t>
  </si>
  <si>
    <t>001/000023106</t>
  </si>
  <si>
    <t>35260123890658000111550010000231061362339835</t>
  </si>
  <si>
    <t>001004017</t>
  </si>
  <si>
    <t>DERMOCHLORELLA DP (1 KG)</t>
  </si>
  <si>
    <t>F7668</t>
  </si>
  <si>
    <t>002004056</t>
  </si>
  <si>
    <t>SC-GLUCAN (1 KG)</t>
  </si>
  <si>
    <t>CSC-032694</t>
  </si>
  <si>
    <t>030004052</t>
  </si>
  <si>
    <t>Y-POLYGLUTAMIC ACID (2000KDA) - HMW (500 GR)</t>
  </si>
  <si>
    <t>20250602</t>
  </si>
  <si>
    <t>11:49</t>
  </si>
  <si>
    <t>4500176642</t>
  </si>
  <si>
    <t>001/000023113</t>
  </si>
  <si>
    <t>35260123890658000111550010000231131362350256</t>
  </si>
  <si>
    <t>ABALO INDUSTRIA E COMERCIO DE COSMETICOS - EIRELI</t>
  </si>
  <si>
    <t>090004029</t>
  </si>
  <si>
    <t>WKPEP SALAREGEN S (1 KG)</t>
  </si>
  <si>
    <t>WKSL250701</t>
  </si>
  <si>
    <t>030004005</t>
  </si>
  <si>
    <t>ALPHA ARBUTIN (1 KG)</t>
  </si>
  <si>
    <t>29159090</t>
  </si>
  <si>
    <t>20250402</t>
  </si>
  <si>
    <t>12:38</t>
  </si>
  <si>
    <t>4500175319</t>
  </si>
  <si>
    <t>001/000023133</t>
  </si>
  <si>
    <t>35260123890658000111550010000231331362715281</t>
  </si>
  <si>
    <t>FUTURE BRANDS COMERCIO DE COSMETICOS LTDA</t>
  </si>
  <si>
    <t>002/CSA/1025</t>
  </si>
  <si>
    <t>14:53</t>
  </si>
  <si>
    <t>4500175484</t>
  </si>
  <si>
    <t>001/000023137</t>
  </si>
  <si>
    <t>35260123890658000111550010000231371362768937</t>
  </si>
  <si>
    <t>TBC PERFUMES E COSMETICOS LTDA</t>
  </si>
  <si>
    <t>001004057FJ</t>
  </si>
  <si>
    <t>SCOPARIANE P (1 KG)</t>
  </si>
  <si>
    <t>11:59</t>
  </si>
  <si>
    <t>4500176123</t>
  </si>
  <si>
    <t>001/000023131</t>
  </si>
  <si>
    <t>35260123890658000111550010000231311362707683</t>
  </si>
  <si>
    <t>NATURALLY BIOS LTDA</t>
  </si>
  <si>
    <t>F8342</t>
  </si>
  <si>
    <t>007002009</t>
  </si>
  <si>
    <t>NATUROIL TRADITION COTTON (20 KG)</t>
  </si>
  <si>
    <t>15122910</t>
  </si>
  <si>
    <t>11:38</t>
  </si>
  <si>
    <t>4500176257</t>
  </si>
  <si>
    <t>001/000023130</t>
  </si>
  <si>
    <t>35260123890658000111550010000231301362704865</t>
  </si>
  <si>
    <t>GRAM INDUSTRIA E COMERCIO LTDA</t>
  </si>
  <si>
    <t>32/08</t>
  </si>
  <si>
    <t>16:24</t>
  </si>
  <si>
    <t>4500176427</t>
  </si>
  <si>
    <t>001/000023139</t>
  </si>
  <si>
    <t>35260123890658000111550010000231391362798121</t>
  </si>
  <si>
    <t>Y2510058</t>
  </si>
  <si>
    <t>14:27</t>
  </si>
  <si>
    <t>4500176643</t>
  </si>
  <si>
    <t>001/000023136</t>
  </si>
  <si>
    <t>35260123890658000111550010000231361362765140</t>
  </si>
  <si>
    <t>TS20250509</t>
  </si>
  <si>
    <t>12:08</t>
  </si>
  <si>
    <t>4500175490</t>
  </si>
  <si>
    <t>001/000023132</t>
  </si>
  <si>
    <t>35260123890658000111550010000231321362710533</t>
  </si>
  <si>
    <t>K017/25/07/D213</t>
  </si>
  <si>
    <t>026005089FJ</t>
  </si>
  <si>
    <t>NATURECEL 750 (5 KG)</t>
  </si>
  <si>
    <t>39129031</t>
  </si>
  <si>
    <t>10:55</t>
  </si>
  <si>
    <t>4500175863</t>
  </si>
  <si>
    <t>001/000023127</t>
  </si>
  <si>
    <t>35260123890658000111550010000231271362694368</t>
  </si>
  <si>
    <t>CP114057</t>
  </si>
  <si>
    <t>090004004</t>
  </si>
  <si>
    <t>WKPEP ERASIN (1 KG)</t>
  </si>
  <si>
    <t>4500176105</t>
  </si>
  <si>
    <t>001/000023126</t>
  </si>
  <si>
    <t>35260123890658000111550010000231261362690799</t>
  </si>
  <si>
    <t>WKER-1251101</t>
  </si>
  <si>
    <t>001004120</t>
  </si>
  <si>
    <t>CORNEOSTICKER DS2 (1 KG)</t>
  </si>
  <si>
    <t>10:18</t>
  </si>
  <si>
    <t>4500176095</t>
  </si>
  <si>
    <t>001/000023125</t>
  </si>
  <si>
    <t>35260123890658000111550010000231251362689203</t>
  </si>
  <si>
    <t>F7903</t>
  </si>
  <si>
    <t>12:51</t>
  </si>
  <si>
    <t>4500176019</t>
  </si>
  <si>
    <t>001/000023135</t>
  </si>
  <si>
    <t>35260123890658000111550010000231351362721049</t>
  </si>
  <si>
    <t>15:08</t>
  </si>
  <si>
    <t>4500176574</t>
  </si>
  <si>
    <t>001/000023138</t>
  </si>
  <si>
    <t>35260123890658000111550010000231381362775752</t>
  </si>
  <si>
    <t>BIOCAP INDUSTRIA DE COSMETICOS - EIRELI</t>
  </si>
  <si>
    <t>061004002</t>
  </si>
  <si>
    <t>BIO-SODIUM HYALURONATE POWDER (MMW) (1 KG)</t>
  </si>
  <si>
    <t>25102105</t>
  </si>
  <si>
    <t>11:09</t>
  </si>
  <si>
    <t>4500176655</t>
  </si>
  <si>
    <t>001/000023128</t>
  </si>
  <si>
    <t>35260123890658000111550010000231281362697526</t>
  </si>
  <si>
    <t>4500175381</t>
  </si>
  <si>
    <t>001/000023156</t>
  </si>
  <si>
    <t>35260123890658000111550010000231561363908100</t>
  </si>
  <si>
    <t>DBE NATURAL DO BRASIL IND COM IMP EXP LTDA</t>
  </si>
  <si>
    <t>14:47</t>
  </si>
  <si>
    <t>4500175574</t>
  </si>
  <si>
    <t>001/000023166</t>
  </si>
  <si>
    <t>35260123890658000111550010000231661363936312</t>
  </si>
  <si>
    <t>Y2510055</t>
  </si>
  <si>
    <t>112004001</t>
  </si>
  <si>
    <t>NATORI GEM SPICULE (10 KG)</t>
  </si>
  <si>
    <t>12:14</t>
  </si>
  <si>
    <t>4500176166</t>
  </si>
  <si>
    <t>001/000023162</t>
  </si>
  <si>
    <t>35260123890658000111550010000231621363915243</t>
  </si>
  <si>
    <t>ECOORI PTE LTD</t>
  </si>
  <si>
    <t>20250612</t>
  </si>
  <si>
    <t>002004121FJ</t>
  </si>
  <si>
    <t>CENTELLA PHYTO-EXOSOME (1 KG)</t>
  </si>
  <si>
    <t>09:03</t>
  </si>
  <si>
    <t>4500174804</t>
  </si>
  <si>
    <t>001/000023141</t>
  </si>
  <si>
    <t>35260123890658000111550010000231411363818230</t>
  </si>
  <si>
    <t>BRMI-020465</t>
  </si>
  <si>
    <t>026005074</t>
  </si>
  <si>
    <t>MICROEASE 1132 (25 KG)</t>
  </si>
  <si>
    <t>11:26</t>
  </si>
  <si>
    <t>4500176628</t>
  </si>
  <si>
    <t>001/000023155</t>
  </si>
  <si>
    <t>35260123890658000111550010000231551363907173</t>
  </si>
  <si>
    <t>D'MARCHE INDUSTRIA DE COSMETICOS LTDA</t>
  </si>
  <si>
    <t>2402408</t>
  </si>
  <si>
    <t>20250813</t>
  </si>
  <si>
    <t>11:19</t>
  </si>
  <si>
    <t>4500176670</t>
  </si>
  <si>
    <t>001/000023154</t>
  </si>
  <si>
    <t>35260123890658000111550010000231541363897901</t>
  </si>
  <si>
    <t>001004063</t>
  </si>
  <si>
    <t>PHYCOSACCHARIDE ACP (1 KG)</t>
  </si>
  <si>
    <t>4500176375</t>
  </si>
  <si>
    <t>001/000023157</t>
  </si>
  <si>
    <t>35260123890658000111550010000231571363909260</t>
  </si>
  <si>
    <t>BIO ESSENCIALLI IND E COM COSMETICOS EIRELI</t>
  </si>
  <si>
    <t>F7440</t>
  </si>
  <si>
    <t>4500176458</t>
  </si>
  <si>
    <t>001/000023158</t>
  </si>
  <si>
    <t>35260123890658000111550010000231581363910303</t>
  </si>
  <si>
    <t>(920 GR)</t>
  </si>
  <si>
    <t>001004043FJ</t>
  </si>
  <si>
    <t>EPS BRIGHT P (920 GR)</t>
  </si>
  <si>
    <t>09:11</t>
  </si>
  <si>
    <t>4500175400</t>
  </si>
  <si>
    <t>001/000023142</t>
  </si>
  <si>
    <t>35260123890658000111550010000231421363818520</t>
  </si>
  <si>
    <t>061004005</t>
  </si>
  <si>
    <t>BIO-SODIUM HYALURONATE POWDER (VLMW) (1 KG)</t>
  </si>
  <si>
    <t>10:51</t>
  </si>
  <si>
    <t>4500176407</t>
  </si>
  <si>
    <t>001/000023148</t>
  </si>
  <si>
    <t>35260123890658000111550010000231481363849586</t>
  </si>
  <si>
    <t>25100813</t>
  </si>
  <si>
    <t>10:54</t>
  </si>
  <si>
    <t>4500175839</t>
  </si>
  <si>
    <t>001/000023149</t>
  </si>
  <si>
    <t>35260123890658000111550010000231491363849982</t>
  </si>
  <si>
    <t>5106</t>
  </si>
  <si>
    <t>Y2510056</t>
  </si>
  <si>
    <t>Y2510057</t>
  </si>
  <si>
    <t>096004001</t>
  </si>
  <si>
    <t>ZIGA MOIST PM-II (1 KG)</t>
  </si>
  <si>
    <t>4500176185</t>
  </si>
  <si>
    <t>001/000023147</t>
  </si>
  <si>
    <t>35260123890658000111550010000231471363824896</t>
  </si>
  <si>
    <t>GIGA FINE CHEMICAL CO.,LTD</t>
  </si>
  <si>
    <t>01251105</t>
  </si>
  <si>
    <t>061004001</t>
  </si>
  <si>
    <t>10:59</t>
  </si>
  <si>
    <t>4500176021</t>
  </si>
  <si>
    <t>001/000023150</t>
  </si>
  <si>
    <t>35260123890658000111550010000231501363850817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</si>
</sst>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$-409]* #,##0.00_ ;_-[$$-409]* \-#,##0.00\ ;_-[$$-409]* &quot;-&quot;??_ ;_-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Arial"/>
      <family val="1"/>
    </font>
    <font>
      <sz val="10"/>
      <color theme="1"/>
      <name val="Arial"/>
      <family val="1"/>
    </font>
    <font>
      <sz val="11"/>
      <color theme="1"/>
      <name val="Arial"/>
      <family val="1"/>
    </font>
    <font>
      <b/>
      <sz val="14"/>
      <color theme="3"/>
      <name val="Arial"/>
      <family val="1"/>
    </font>
    <font>
      <sz val="10"/>
      <name val="Arial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1A1A1"/>
        <bgColor rgb="FFA1A1A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rgb="FFA1A1A1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8" fontId="3" fillId="4" borderId="0" xfId="0" applyNumberFormat="1" applyFont="1" applyFill="1"/>
    <xf numFmtId="14" fontId="4" fillId="4" borderId="0" xfId="0" applyNumberFormat="1" applyFont="1" applyFill="1"/>
    <xf numFmtId="0" fontId="5" fillId="5" borderId="0" xfId="0" applyFont="1" applyFill="1" applyAlignment="1">
      <alignment horizontal="center"/>
    </xf>
    <xf numFmtId="164" fontId="5" fillId="5" borderId="0" xfId="1" applyNumberFormat="1" applyFont="1" applyFill="1" applyAlignment="1">
      <alignment horizontal="center"/>
    </xf>
    <xf numFmtId="44" fontId="5" fillId="5" borderId="0" xfId="1" applyFont="1" applyFill="1" applyAlignment="1">
      <alignment horizontal="center"/>
    </xf>
    <xf numFmtId="10" fontId="5" fillId="5" borderId="0" xfId="2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4" fontId="6" fillId="2" borderId="0" xfId="1" applyNumberFormat="1" applyFont="1" applyFill="1" applyAlignment="1">
      <alignment horizontal="center"/>
    </xf>
    <xf numFmtId="44" fontId="6" fillId="2" borderId="0" xfId="1" applyFont="1" applyFill="1" applyAlignment="1">
      <alignment horizontal="center"/>
    </xf>
    <xf numFmtId="8" fontId="6" fillId="2" borderId="0" xfId="1" applyNumberFormat="1" applyFont="1" applyFill="1" applyAlignment="1">
      <alignment horizontal="center"/>
    </xf>
    <xf numFmtId="10" fontId="6" fillId="2" borderId="0" xfId="2" applyNumberFormat="1" applyFont="1" applyFill="1" applyAlignment="1">
      <alignment horizontal="center"/>
    </xf>
    <xf numFmtId="8" fontId="6" fillId="2" borderId="0" xfId="2" applyNumberFormat="1" applyFont="1" applyFill="1" applyAlignment="1">
      <alignment horizontal="center"/>
    </xf>
    <xf numFmtId="0" fontId="3" fillId="0" borderId="0" xfId="0" applyFont="1"/>
    <xf numFmtId="14" fontId="4" fillId="0" borderId="0" xfId="0" applyNumberFormat="1" applyFont="1"/>
    <xf numFmtId="0" fontId="3" fillId="0" borderId="0" xfId="0" applyFont="1" applyAlignment="1">
      <alignment horizontal="right"/>
    </xf>
    <xf numFmtId="8" fontId="3" fillId="0" borderId="0" xfId="0" applyNumberFormat="1" applyFont="1"/>
    <xf numFmtId="164" fontId="6" fillId="6" borderId="0" xfId="1" applyNumberFormat="1" applyFont="1" applyFill="1" applyAlignment="1">
      <alignment horizontal="center"/>
    </xf>
    <xf numFmtId="164" fontId="6" fillId="7" borderId="0" xfId="1" applyNumberFormat="1" applyFont="1" applyFill="1" applyAlignment="1">
      <alignment horizontal="center"/>
    </xf>
    <xf numFmtId="10" fontId="6" fillId="8" borderId="0" xfId="2" applyNumberFormat="1" applyFont="1" applyFill="1" applyAlignment="1">
      <alignment horizontal="center"/>
    </xf>
    <xf numFmtId="164" fontId="6" fillId="8" borderId="0" xfId="1" applyNumberFormat="1" applyFon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novasell.sharepoint.com/sites/Administrativo/Documentos%20Partilhados/General/4.%20PLANILHAS%20GERENCIAIS/12.%20COMISS&#213;ES%202026/RELATORIO%20DE%20COMISS&#213;ES%20-%20FEV%202026%20-%20Copia.xlsx" TargetMode="External"/><Relationship Id="rId1" Type="http://schemas.openxmlformats.org/officeDocument/2006/relationships/externalLinkPath" Target="https://innovasell.sharepoint.com/sites/Administrativo/Documentos%20Partilhados/General/4.%20PLANILHAS%20GERENCIAIS/12.%20COMISS&#213;ES%202026/RELATORIO%20DE%20COMISS&#213;ES%20-%20FEV%202026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novasell.sharepoint.com/sites/Administrativo/Documentos%20Partilhados/General/4.%20PLANILHAS%20GERENCIAIS/7.%20BACKUP%20PRICE%20LIST%20-%20ORIGINAL%20EM%20VENDAS/PRICE%20LIST%202026/01.%20PRICE%20LIST%20-%202026%20JAN.xlsx" TargetMode="External"/><Relationship Id="rId1" Type="http://schemas.openxmlformats.org/officeDocument/2006/relationships/externalLinkPath" Target="https://innovasell.sharepoint.com/sites/Administrativo/Documentos%20Partilhados/General/4.%20PLANILHAS%20GERENCIAIS/7.%20BACKUP%20PRICE%20LIST%20-%20ORIGINAL%20EM%20VENDAS/PRICE%20LIST%202026/01.%20PRICE%20LIST%20-%202026%20J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 DE COMISSÕES"/>
      <sheetName val="NF EMITIDA"/>
      <sheetName val="BASE DE FABRICANTES"/>
      <sheetName val="PTAX"/>
      <sheetName val="CFOP"/>
      <sheetName val="PEDIDOS E COMISSOES"/>
      <sheetName val="TESTE FÓRMULA"/>
      <sheetName val="SEMANAS DE PAGAMENTO"/>
      <sheetName val="MOVIMENTAÇÃO DE ESTOQUE"/>
      <sheetName val="DESCONTO CONCEDIDO"/>
    </sheetNames>
    <sheetDataSet>
      <sheetData sheetId="0"/>
      <sheetData sheetId="1"/>
      <sheetData sheetId="2">
        <row r="1">
          <cell r="A1" t="str">
            <v>CÓD.</v>
          </cell>
          <cell r="B1" t="str">
            <v>FABRICANTE</v>
          </cell>
        </row>
        <row r="2">
          <cell r="A2" t="str">
            <v>001</v>
          </cell>
          <cell r="B2" t="str">
            <v>CODIF</v>
          </cell>
        </row>
        <row r="3">
          <cell r="A3" t="str">
            <v>002</v>
          </cell>
          <cell r="B3" t="str">
            <v>BIOLAND</v>
          </cell>
        </row>
        <row r="4">
          <cell r="A4" t="str">
            <v>003</v>
          </cell>
          <cell r="B4" t="str">
            <v>CITRÓLEO</v>
          </cell>
        </row>
        <row r="5">
          <cell r="A5" t="str">
            <v>004</v>
          </cell>
          <cell r="B5" t="str">
            <v>HOCK CHEMIE</v>
          </cell>
        </row>
        <row r="6">
          <cell r="A6" t="str">
            <v>005</v>
          </cell>
          <cell r="B6" t="str">
            <v>ECO-SHELL</v>
          </cell>
        </row>
        <row r="7">
          <cell r="A7" t="str">
            <v>006</v>
          </cell>
          <cell r="B7" t="str">
            <v>NATURAL AMAZON</v>
          </cell>
        </row>
        <row r="8">
          <cell r="A8" t="str">
            <v>007</v>
          </cell>
          <cell r="B8" t="str">
            <v>MPR</v>
          </cell>
        </row>
        <row r="9">
          <cell r="A9" t="str">
            <v>008</v>
          </cell>
          <cell r="B9" t="str">
            <v>KPT</v>
          </cell>
        </row>
        <row r="10">
          <cell r="A10" t="str">
            <v>009</v>
          </cell>
          <cell r="B10" t="str">
            <v>COPRA</v>
          </cell>
        </row>
        <row r="11">
          <cell r="A11" t="str">
            <v>010</v>
          </cell>
          <cell r="B11" t="str">
            <v>ARGILE DU VELAY</v>
          </cell>
        </row>
        <row r="12">
          <cell r="A12" t="str">
            <v>011</v>
          </cell>
          <cell r="B12" t="str">
            <v>CHEMLAND</v>
          </cell>
        </row>
        <row r="13">
          <cell r="A13" t="str">
            <v>012</v>
          </cell>
          <cell r="B13" t="str">
            <v>ETHOX</v>
          </cell>
        </row>
        <row r="14">
          <cell r="A14" t="str">
            <v>013</v>
          </cell>
          <cell r="B14" t="str">
            <v>GALACTIC</v>
          </cell>
        </row>
        <row r="15">
          <cell r="A15" t="str">
            <v>014</v>
          </cell>
          <cell r="B15" t="str">
            <v>HERRMAN</v>
          </cell>
        </row>
        <row r="16">
          <cell r="A16" t="str">
            <v>015</v>
          </cell>
          <cell r="B16" t="str">
            <v>RADIFIX</v>
          </cell>
        </row>
        <row r="17">
          <cell r="A17" t="str">
            <v>016</v>
          </cell>
          <cell r="B17" t="str">
            <v>WUHU</v>
          </cell>
        </row>
        <row r="18">
          <cell r="A18" t="str">
            <v>017</v>
          </cell>
          <cell r="B18" t="str">
            <v>SIDDARTH CARBOCHEM</v>
          </cell>
        </row>
        <row r="19">
          <cell r="A19" t="str">
            <v>018</v>
          </cell>
          <cell r="B19" t="str">
            <v>BH BIOTECH</v>
          </cell>
        </row>
        <row r="20">
          <cell r="A20" t="str">
            <v>019</v>
          </cell>
          <cell r="B20" t="str">
            <v>TC-USA</v>
          </cell>
        </row>
        <row r="21">
          <cell r="A21" t="str">
            <v>020</v>
          </cell>
          <cell r="B21" t="str">
            <v>TNJ</v>
          </cell>
        </row>
        <row r="22">
          <cell r="A22" t="str">
            <v>021</v>
          </cell>
          <cell r="B22" t="str">
            <v>ECHEMI</v>
          </cell>
        </row>
        <row r="23">
          <cell r="A23" t="str">
            <v>022</v>
          </cell>
          <cell r="B23" t="str">
            <v>SOHO ANECO</v>
          </cell>
        </row>
        <row r="24">
          <cell r="A24" t="str">
            <v>023</v>
          </cell>
          <cell r="B24" t="str">
            <v>COMPOMAT</v>
          </cell>
        </row>
        <row r="25">
          <cell r="A25" t="str">
            <v>024</v>
          </cell>
          <cell r="B25" t="str">
            <v>ANHUI HERRMAN</v>
          </cell>
        </row>
        <row r="26">
          <cell r="A26" t="str">
            <v>025</v>
          </cell>
          <cell r="B26" t="str">
            <v>SENTINALCO</v>
          </cell>
        </row>
        <row r="27">
          <cell r="A27" t="str">
            <v>026</v>
          </cell>
          <cell r="B27" t="str">
            <v>MICRO POWDERS</v>
          </cell>
        </row>
        <row r="28">
          <cell r="A28" t="str">
            <v>027</v>
          </cell>
          <cell r="B28" t="str">
            <v>THE INNOVATION COMPANY</v>
          </cell>
        </row>
        <row r="29">
          <cell r="A29" t="str">
            <v>028</v>
          </cell>
          <cell r="B29" t="str">
            <v>JEDWARDS</v>
          </cell>
        </row>
        <row r="30">
          <cell r="A30" t="str">
            <v>029</v>
          </cell>
          <cell r="B30" t="str">
            <v>DISTRIOL</v>
          </cell>
        </row>
        <row r="31">
          <cell r="A31" t="str">
            <v>030</v>
          </cell>
          <cell r="B31" t="str">
            <v>SPEC CHEM</v>
          </cell>
        </row>
        <row r="32">
          <cell r="A32" t="str">
            <v>031</v>
          </cell>
          <cell r="B32" t="str">
            <v>KUMAR</v>
          </cell>
        </row>
        <row r="33">
          <cell r="A33" t="str">
            <v>032</v>
          </cell>
          <cell r="B33" t="str">
            <v>NATURAL HERB</v>
          </cell>
        </row>
        <row r="34">
          <cell r="A34" t="str">
            <v>033</v>
          </cell>
          <cell r="B34" t="str">
            <v>WATEC</v>
          </cell>
        </row>
        <row r="35">
          <cell r="A35" t="str">
            <v>034</v>
          </cell>
          <cell r="B35" t="str">
            <v>WENDA</v>
          </cell>
        </row>
        <row r="36">
          <cell r="A36" t="str">
            <v>035</v>
          </cell>
          <cell r="B36" t="str">
            <v>GRANASUR</v>
          </cell>
        </row>
        <row r="37">
          <cell r="A37" t="str">
            <v>036</v>
          </cell>
          <cell r="B37" t="str">
            <v>IPEL</v>
          </cell>
        </row>
        <row r="38">
          <cell r="A38" t="str">
            <v>037</v>
          </cell>
          <cell r="B38" t="str">
            <v>NANOGEM</v>
          </cell>
        </row>
        <row r="39">
          <cell r="A39" t="str">
            <v>038</v>
          </cell>
          <cell r="B39" t="str">
            <v>JOYVO</v>
          </cell>
        </row>
        <row r="40">
          <cell r="A40" t="str">
            <v>039</v>
          </cell>
          <cell r="B40" t="str">
            <v>MB SUGARS</v>
          </cell>
        </row>
        <row r="41">
          <cell r="A41" t="str">
            <v>040</v>
          </cell>
          <cell r="B41" t="str">
            <v>GREAF</v>
          </cell>
        </row>
        <row r="42">
          <cell r="A42" t="str">
            <v>041</v>
          </cell>
          <cell r="B42" t="str">
            <v>AIGLON</v>
          </cell>
        </row>
        <row r="43">
          <cell r="A43" t="str">
            <v>042</v>
          </cell>
          <cell r="B43" t="str">
            <v>FUMEI</v>
          </cell>
        </row>
        <row r="44">
          <cell r="A44" t="str">
            <v>043</v>
          </cell>
          <cell r="B44" t="str">
            <v>INTERFAT</v>
          </cell>
        </row>
        <row r="45">
          <cell r="A45" t="str">
            <v>044</v>
          </cell>
          <cell r="B45" t="str">
            <v>RESPHARMA</v>
          </cell>
        </row>
        <row r="46">
          <cell r="A46" t="str">
            <v>045</v>
          </cell>
          <cell r="B46" t="str">
            <v>CHOISUN BIOTECH</v>
          </cell>
        </row>
        <row r="47">
          <cell r="A47" t="str">
            <v>046</v>
          </cell>
          <cell r="B47" t="str">
            <v>GREEN BIO</v>
          </cell>
        </row>
        <row r="48">
          <cell r="A48" t="str">
            <v>047</v>
          </cell>
          <cell r="B48" t="str">
            <v>KONCEPTNUTRA</v>
          </cell>
        </row>
        <row r="49">
          <cell r="A49" t="str">
            <v>048</v>
          </cell>
          <cell r="B49" t="str">
            <v>RAWMAP</v>
          </cell>
        </row>
        <row r="50">
          <cell r="A50" t="str">
            <v>049</v>
          </cell>
          <cell r="B50" t="str">
            <v>AF SUTER</v>
          </cell>
        </row>
        <row r="51">
          <cell r="A51" t="str">
            <v>050</v>
          </cell>
          <cell r="B51" t="str">
            <v>VAN WANKUM INGREDIENTS</v>
          </cell>
        </row>
        <row r="52">
          <cell r="A52" t="str">
            <v>051</v>
          </cell>
          <cell r="B52" t="str">
            <v>DERMALAB</v>
          </cell>
        </row>
        <row r="53">
          <cell r="A53" t="str">
            <v>052</v>
          </cell>
          <cell r="B53" t="str">
            <v>SEKISUI</v>
          </cell>
        </row>
        <row r="54">
          <cell r="A54" t="str">
            <v>053</v>
          </cell>
          <cell r="B54" t="str">
            <v>SINOLION</v>
          </cell>
        </row>
        <row r="55">
          <cell r="A55" t="str">
            <v>054</v>
          </cell>
          <cell r="B55" t="str">
            <v>HAITIAN</v>
          </cell>
        </row>
        <row r="56">
          <cell r="A56" t="str">
            <v>055</v>
          </cell>
          <cell r="B56" t="str">
            <v>BAOFENG</v>
          </cell>
        </row>
        <row r="57">
          <cell r="A57" t="str">
            <v>056</v>
          </cell>
          <cell r="B57" t="str">
            <v>CARBONADO</v>
          </cell>
        </row>
        <row r="58">
          <cell r="A58" t="str">
            <v>057</v>
          </cell>
          <cell r="B58" t="str">
            <v>GRAN OILS</v>
          </cell>
        </row>
        <row r="59">
          <cell r="A59" t="str">
            <v>058</v>
          </cell>
          <cell r="B59" t="str">
            <v>CHARKIT CHEMICAL</v>
          </cell>
        </row>
        <row r="60">
          <cell r="A60" t="str">
            <v>059</v>
          </cell>
          <cell r="B60" t="str">
            <v>NATURAL OILS</v>
          </cell>
        </row>
        <row r="61">
          <cell r="A61" t="str">
            <v>060</v>
          </cell>
          <cell r="B61" t="str">
            <v>AROMA HOLLY</v>
          </cell>
        </row>
        <row r="62">
          <cell r="A62" t="str">
            <v>061</v>
          </cell>
          <cell r="B62" t="str">
            <v>FOCUS</v>
          </cell>
        </row>
        <row r="63">
          <cell r="A63" t="str">
            <v>062</v>
          </cell>
          <cell r="B63" t="str">
            <v>JIANGSU MIAOYI</v>
          </cell>
        </row>
        <row r="64">
          <cell r="A64" t="str">
            <v>063</v>
          </cell>
          <cell r="B64" t="str">
            <v>IC BIO</v>
          </cell>
        </row>
        <row r="65">
          <cell r="A65" t="str">
            <v>064</v>
          </cell>
          <cell r="B65" t="str">
            <v>GREEN ANDINA</v>
          </cell>
        </row>
        <row r="66">
          <cell r="A66" t="str">
            <v>065</v>
          </cell>
          <cell r="B66" t="str">
            <v>ABC NANOTECH</v>
          </cell>
        </row>
        <row r="67">
          <cell r="A67" t="str">
            <v>066</v>
          </cell>
          <cell r="B67" t="str">
            <v>SALICYLATES</v>
          </cell>
        </row>
        <row r="68">
          <cell r="A68" t="str">
            <v>067</v>
          </cell>
          <cell r="B68" t="str">
            <v>CHEMAXCEL</v>
          </cell>
        </row>
        <row r="69">
          <cell r="A69" t="str">
            <v>068</v>
          </cell>
          <cell r="B69" t="str">
            <v>BISOR</v>
          </cell>
        </row>
        <row r="70">
          <cell r="A70" t="str">
            <v>069</v>
          </cell>
          <cell r="B70" t="str">
            <v>INFINITEC</v>
          </cell>
        </row>
        <row r="71">
          <cell r="A71" t="str">
            <v>070</v>
          </cell>
          <cell r="B71" t="str">
            <v>AROMAAZ</v>
          </cell>
        </row>
        <row r="72">
          <cell r="A72" t="str">
            <v>071</v>
          </cell>
          <cell r="B72" t="str">
            <v>ZHONGLAN</v>
          </cell>
        </row>
        <row r="73">
          <cell r="A73" t="str">
            <v>072</v>
          </cell>
          <cell r="B73" t="str">
            <v>HAIHANG</v>
          </cell>
        </row>
        <row r="74">
          <cell r="A74" t="str">
            <v>073</v>
          </cell>
          <cell r="B74" t="str">
            <v>A AZEVEDO</v>
          </cell>
        </row>
        <row r="75">
          <cell r="A75" t="str">
            <v>074</v>
          </cell>
          <cell r="B75" t="str">
            <v>BIOSYNTHETIC</v>
          </cell>
        </row>
        <row r="76">
          <cell r="A76" t="str">
            <v>075</v>
          </cell>
          <cell r="B76" t="str">
            <v>ONETECH SOLUTION</v>
          </cell>
        </row>
        <row r="77">
          <cell r="A77" t="str">
            <v>076</v>
          </cell>
          <cell r="B77" t="str">
            <v>PUERZAN</v>
          </cell>
        </row>
        <row r="78">
          <cell r="A78" t="str">
            <v>077</v>
          </cell>
          <cell r="B78" t="str">
            <v>OLI</v>
          </cell>
        </row>
        <row r="79">
          <cell r="A79" t="str">
            <v>078</v>
          </cell>
          <cell r="B79" t="str">
            <v>COSROMA</v>
          </cell>
        </row>
        <row r="80">
          <cell r="A80" t="str">
            <v>079</v>
          </cell>
          <cell r="B80" t="str">
            <v>NUTRANOVO</v>
          </cell>
        </row>
        <row r="81">
          <cell r="A81" t="str">
            <v>080</v>
          </cell>
          <cell r="B81" t="str">
            <v>HERBALTEC</v>
          </cell>
        </row>
        <row r="82">
          <cell r="A82" t="str">
            <v>081</v>
          </cell>
          <cell r="B82" t="str">
            <v>Reachin Chemical</v>
          </cell>
        </row>
        <row r="83">
          <cell r="A83" t="str">
            <v>082</v>
          </cell>
          <cell r="B83" t="str">
            <v>Xi'an DN Biology Co.,Ltd</v>
          </cell>
        </row>
        <row r="84">
          <cell r="A84" t="str">
            <v>083</v>
          </cell>
          <cell r="B84" t="str">
            <v>GUARAMEX / BRASCARBO</v>
          </cell>
        </row>
        <row r="85">
          <cell r="A85" t="str">
            <v>084</v>
          </cell>
          <cell r="B85" t="str">
            <v>KRAEBER &amp; Co GmbH</v>
          </cell>
        </row>
        <row r="86">
          <cell r="A86" t="str">
            <v>085</v>
          </cell>
          <cell r="B86" t="str">
            <v>XI´AN GREEN SPRING TECHNOLOGY</v>
          </cell>
        </row>
        <row r="87">
          <cell r="A87" t="str">
            <v>086</v>
          </cell>
          <cell r="B87" t="str">
            <v>CHANGSHA STAHERB NATURAL</v>
          </cell>
        </row>
        <row r="88">
          <cell r="A88" t="str">
            <v>087</v>
          </cell>
          <cell r="B88" t="str">
            <v>NANOVEX</v>
          </cell>
        </row>
        <row r="89">
          <cell r="A89" t="str">
            <v>088</v>
          </cell>
          <cell r="B89" t="str">
            <v>LIPOMIZE</v>
          </cell>
        </row>
        <row r="90">
          <cell r="A90" t="str">
            <v>089</v>
          </cell>
          <cell r="B90" t="str">
            <v>KANGCARE</v>
          </cell>
        </row>
        <row r="91">
          <cell r="A91" t="str">
            <v>090</v>
          </cell>
          <cell r="B91" t="str">
            <v>WINKEY</v>
          </cell>
        </row>
        <row r="92">
          <cell r="A92" t="str">
            <v>091</v>
          </cell>
          <cell r="B92" t="str">
            <v>ENSINCE</v>
          </cell>
        </row>
        <row r="93">
          <cell r="A93" t="str">
            <v>092</v>
          </cell>
          <cell r="B93" t="str">
            <v>CARBONWAVE</v>
          </cell>
        </row>
        <row r="94">
          <cell r="A94" t="str">
            <v>093</v>
          </cell>
          <cell r="B94" t="str">
            <v>ACTERA</v>
          </cell>
        </row>
        <row r="95">
          <cell r="A95" t="str">
            <v>094</v>
          </cell>
          <cell r="B95" t="str">
            <v>TAUROS (VIPOTECH)</v>
          </cell>
        </row>
        <row r="96">
          <cell r="A96" t="str">
            <v>095</v>
          </cell>
        </row>
        <row r="97">
          <cell r="A97" t="str">
            <v>096</v>
          </cell>
          <cell r="B97" t="str">
            <v>GIGA FINE</v>
          </cell>
        </row>
        <row r="98">
          <cell r="A98" t="str">
            <v>102</v>
          </cell>
          <cell r="B98" t="str">
            <v>COACHCHEM</v>
          </cell>
        </row>
        <row r="99">
          <cell r="A99" t="str">
            <v>112</v>
          </cell>
          <cell r="B99" t="str">
            <v>ECOORI</v>
          </cell>
        </row>
        <row r="100">
          <cell r="A100" t="str">
            <v>110</v>
          </cell>
          <cell r="B100" t="str">
            <v>CORE BIOGENESIS</v>
          </cell>
        </row>
      </sheetData>
      <sheetData sheetId="3">
        <row r="1">
          <cell r="A1" t="str">
            <v>mês</v>
          </cell>
          <cell r="C1" t="str">
            <v>Compra</v>
          </cell>
        </row>
        <row r="2">
          <cell r="A2">
            <v>45293</v>
          </cell>
          <cell r="C2">
            <v>4.891</v>
          </cell>
        </row>
        <row r="3">
          <cell r="A3">
            <v>45294</v>
          </cell>
          <cell r="C3">
            <v>4.9206000000000003</v>
          </cell>
        </row>
        <row r="4">
          <cell r="A4">
            <v>45295</v>
          </cell>
          <cell r="C4">
            <v>4.9181999999999997</v>
          </cell>
        </row>
        <row r="5">
          <cell r="A5">
            <v>45296</v>
          </cell>
          <cell r="C5">
            <v>4.8893000000000004</v>
          </cell>
        </row>
        <row r="6">
          <cell r="A6">
            <v>45299</v>
          </cell>
          <cell r="C6">
            <v>4.8844000000000003</v>
          </cell>
        </row>
        <row r="7">
          <cell r="A7">
            <v>45300</v>
          </cell>
          <cell r="C7">
            <v>4.8930999999999996</v>
          </cell>
        </row>
        <row r="8">
          <cell r="A8">
            <v>45301</v>
          </cell>
          <cell r="C8">
            <v>4.8895</v>
          </cell>
        </row>
        <row r="9">
          <cell r="A9">
            <v>45302</v>
          </cell>
          <cell r="C9">
            <v>4.8788</v>
          </cell>
        </row>
        <row r="10">
          <cell r="A10">
            <v>45303</v>
          </cell>
          <cell r="C10">
            <v>4.8536999999999999</v>
          </cell>
        </row>
        <row r="11">
          <cell r="A11">
            <v>45306</v>
          </cell>
          <cell r="C11">
            <v>4.8758999999999997</v>
          </cell>
        </row>
        <row r="12">
          <cell r="A12">
            <v>45307</v>
          </cell>
          <cell r="C12">
            <v>4.9032</v>
          </cell>
        </row>
        <row r="13">
          <cell r="A13">
            <v>45308</v>
          </cell>
          <cell r="C13">
            <v>4.9340000000000002</v>
          </cell>
        </row>
        <row r="14">
          <cell r="A14">
            <v>45309</v>
          </cell>
          <cell r="C14">
            <v>4.9397000000000002</v>
          </cell>
        </row>
        <row r="15">
          <cell r="A15">
            <v>45310</v>
          </cell>
          <cell r="C15">
            <v>4.9217000000000004</v>
          </cell>
        </row>
        <row r="16">
          <cell r="A16">
            <v>45313</v>
          </cell>
          <cell r="C16">
            <v>4.9484000000000004</v>
          </cell>
        </row>
        <row r="17">
          <cell r="A17">
            <v>45314</v>
          </cell>
          <cell r="C17">
            <v>4.9709000000000003</v>
          </cell>
        </row>
        <row r="18">
          <cell r="A18">
            <v>45315</v>
          </cell>
          <cell r="C18">
            <v>4.9185999999999996</v>
          </cell>
        </row>
        <row r="19">
          <cell r="A19">
            <v>45316</v>
          </cell>
          <cell r="C19">
            <v>4.9226000000000001</v>
          </cell>
        </row>
        <row r="20">
          <cell r="A20">
            <v>45317</v>
          </cell>
          <cell r="C20">
            <v>4.9119000000000002</v>
          </cell>
        </row>
        <row r="21">
          <cell r="A21">
            <v>45320</v>
          </cell>
          <cell r="C21">
            <v>4.9218999999999999</v>
          </cell>
        </row>
        <row r="22">
          <cell r="A22">
            <v>45321</v>
          </cell>
          <cell r="C22">
            <v>4.9631999999999996</v>
          </cell>
        </row>
        <row r="23">
          <cell r="A23">
            <v>45322</v>
          </cell>
          <cell r="C23">
            <v>4.9528999999999996</v>
          </cell>
        </row>
        <row r="24">
          <cell r="A24">
            <v>45323</v>
          </cell>
          <cell r="C24">
            <v>4.9344000000000001</v>
          </cell>
        </row>
        <row r="25">
          <cell r="A25">
            <v>45324</v>
          </cell>
          <cell r="C25">
            <v>4.9465000000000003</v>
          </cell>
        </row>
        <row r="26">
          <cell r="A26">
            <v>45327</v>
          </cell>
          <cell r="C26">
            <v>5.0046999999999997</v>
          </cell>
        </row>
        <row r="27">
          <cell r="A27">
            <v>45328</v>
          </cell>
          <cell r="C27">
            <v>4.9680999999999997</v>
          </cell>
        </row>
        <row r="28">
          <cell r="A28">
            <v>45329</v>
          </cell>
          <cell r="C28">
            <v>4.9602000000000004</v>
          </cell>
        </row>
        <row r="29">
          <cell r="A29">
            <v>45330</v>
          </cell>
          <cell r="C29">
            <v>4.9798</v>
          </cell>
        </row>
        <row r="30">
          <cell r="A30">
            <v>45331</v>
          </cell>
          <cell r="C30">
            <v>4.9710999999999999</v>
          </cell>
        </row>
        <row r="31">
          <cell r="A31">
            <v>45336</v>
          </cell>
          <cell r="C31">
            <v>4.9717000000000002</v>
          </cell>
        </row>
        <row r="32">
          <cell r="A32">
            <v>45337</v>
          </cell>
          <cell r="C32">
            <v>4.9703999999999997</v>
          </cell>
        </row>
        <row r="33">
          <cell r="A33">
            <v>45338</v>
          </cell>
          <cell r="C33">
            <v>4.9755000000000003</v>
          </cell>
        </row>
        <row r="34">
          <cell r="A34">
            <v>45341</v>
          </cell>
          <cell r="C34">
            <v>4.9579000000000004</v>
          </cell>
        </row>
        <row r="35">
          <cell r="A35">
            <v>45342</v>
          </cell>
          <cell r="C35">
            <v>4.9401999999999999</v>
          </cell>
        </row>
        <row r="36">
          <cell r="A36">
            <v>45343</v>
          </cell>
          <cell r="C36">
            <v>4.9297000000000004</v>
          </cell>
        </row>
        <row r="37">
          <cell r="A37">
            <v>45344</v>
          </cell>
          <cell r="C37">
            <v>4.9413</v>
          </cell>
        </row>
        <row r="38">
          <cell r="A38">
            <v>45345</v>
          </cell>
          <cell r="C38">
            <v>4.9844999999999997</v>
          </cell>
        </row>
        <row r="39">
          <cell r="A39">
            <v>45348</v>
          </cell>
          <cell r="C39">
            <v>4.9813000000000001</v>
          </cell>
        </row>
        <row r="40">
          <cell r="A40">
            <v>45349</v>
          </cell>
          <cell r="C40">
            <v>4.9569000000000001</v>
          </cell>
        </row>
        <row r="41">
          <cell r="A41">
            <v>45350</v>
          </cell>
          <cell r="C41">
            <v>4.9550999999999998</v>
          </cell>
        </row>
        <row r="42">
          <cell r="A42">
            <v>45351</v>
          </cell>
          <cell r="C42">
            <v>4.9827000000000004</v>
          </cell>
        </row>
        <row r="43">
          <cell r="A43">
            <v>45352</v>
          </cell>
          <cell r="C43">
            <v>4.9589999999999996</v>
          </cell>
        </row>
        <row r="44">
          <cell r="A44">
            <v>45355</v>
          </cell>
          <cell r="C44">
            <v>4.9469000000000003</v>
          </cell>
        </row>
        <row r="45">
          <cell r="A45">
            <v>45356</v>
          </cell>
          <cell r="C45">
            <v>4.9481999999999999</v>
          </cell>
        </row>
        <row r="46">
          <cell r="A46">
            <v>45357</v>
          </cell>
          <cell r="C46">
            <v>4.9391999999999996</v>
          </cell>
        </row>
        <row r="47">
          <cell r="A47">
            <v>45358</v>
          </cell>
          <cell r="C47">
            <v>4.9358000000000004</v>
          </cell>
        </row>
        <row r="48">
          <cell r="A48">
            <v>45359</v>
          </cell>
          <cell r="C48">
            <v>4.9744999999999999</v>
          </cell>
        </row>
        <row r="49">
          <cell r="A49">
            <v>45362</v>
          </cell>
          <cell r="C49">
            <v>4.9771000000000001</v>
          </cell>
        </row>
        <row r="50">
          <cell r="A50">
            <v>45363</v>
          </cell>
          <cell r="C50">
            <v>4.9806999999999997</v>
          </cell>
        </row>
        <row r="51">
          <cell r="A51">
            <v>45364</v>
          </cell>
          <cell r="C51">
            <v>4.9797000000000002</v>
          </cell>
        </row>
        <row r="52">
          <cell r="A52">
            <v>45365</v>
          </cell>
          <cell r="C52">
            <v>4.9762000000000004</v>
          </cell>
        </row>
        <row r="53">
          <cell r="A53">
            <v>45366</v>
          </cell>
          <cell r="C53">
            <v>4.9931000000000001</v>
          </cell>
        </row>
        <row r="54">
          <cell r="A54">
            <v>45369</v>
          </cell>
          <cell r="C54">
            <v>5.0118</v>
          </cell>
        </row>
        <row r="55">
          <cell r="A55">
            <v>45370</v>
          </cell>
          <cell r="C55">
            <v>5.0346000000000002</v>
          </cell>
        </row>
        <row r="56">
          <cell r="A56">
            <v>45371</v>
          </cell>
          <cell r="C56">
            <v>5.0114000000000001</v>
          </cell>
        </row>
        <row r="57">
          <cell r="A57">
            <v>45372</v>
          </cell>
          <cell r="C57">
            <v>4.9801000000000002</v>
          </cell>
        </row>
        <row r="58">
          <cell r="A58">
            <v>45373</v>
          </cell>
          <cell r="C58">
            <v>4.9890999999999996</v>
          </cell>
        </row>
        <row r="59">
          <cell r="A59">
            <v>45376</v>
          </cell>
          <cell r="C59">
            <v>4.9863</v>
          </cell>
        </row>
        <row r="60">
          <cell r="A60">
            <v>45377</v>
          </cell>
          <cell r="C60">
            <v>4.9863999999999997</v>
          </cell>
        </row>
        <row r="61">
          <cell r="A61">
            <v>45378</v>
          </cell>
          <cell r="C61">
            <v>4.9850000000000003</v>
          </cell>
        </row>
        <row r="62">
          <cell r="A62">
            <v>45379</v>
          </cell>
          <cell r="C62">
            <v>4.9955999999999996</v>
          </cell>
        </row>
        <row r="63">
          <cell r="A63">
            <v>45383</v>
          </cell>
          <cell r="C63">
            <v>5.0526</v>
          </cell>
        </row>
        <row r="64">
          <cell r="A64">
            <v>45384</v>
          </cell>
          <cell r="C64">
            <v>5.0468999999999999</v>
          </cell>
        </row>
        <row r="65">
          <cell r="A65">
            <v>45385</v>
          </cell>
          <cell r="C65">
            <v>5.0717999999999996</v>
          </cell>
        </row>
        <row r="66">
          <cell r="A66">
            <v>45386</v>
          </cell>
          <cell r="C66">
            <v>5.0231000000000003</v>
          </cell>
        </row>
        <row r="67">
          <cell r="A67">
            <v>45387</v>
          </cell>
          <cell r="C67">
            <v>5.0514000000000001</v>
          </cell>
        </row>
        <row r="68">
          <cell r="A68">
            <v>45390</v>
          </cell>
          <cell r="C68">
            <v>5.0415000000000001</v>
          </cell>
        </row>
        <row r="69">
          <cell r="A69">
            <v>45391</v>
          </cell>
          <cell r="C69">
            <v>5.0073999999999996</v>
          </cell>
        </row>
        <row r="70">
          <cell r="A70">
            <v>45392</v>
          </cell>
          <cell r="C70">
            <v>5.0648</v>
          </cell>
        </row>
        <row r="71">
          <cell r="A71">
            <v>45393</v>
          </cell>
          <cell r="C71">
            <v>5.0758999999999999</v>
          </cell>
        </row>
        <row r="72">
          <cell r="A72">
            <v>45394</v>
          </cell>
          <cell r="C72">
            <v>5.1357999999999997</v>
          </cell>
        </row>
        <row r="73">
          <cell r="A73">
            <v>45397</v>
          </cell>
          <cell r="C73">
            <v>5.1740000000000004</v>
          </cell>
        </row>
        <row r="74">
          <cell r="A74">
            <v>45398</v>
          </cell>
          <cell r="C74">
            <v>5.2628000000000004</v>
          </cell>
        </row>
        <row r="75">
          <cell r="A75">
            <v>45399</v>
          </cell>
          <cell r="C75">
            <v>5.2462999999999997</v>
          </cell>
        </row>
        <row r="76">
          <cell r="A76">
            <v>45400</v>
          </cell>
          <cell r="C76">
            <v>5.2506000000000004</v>
          </cell>
        </row>
        <row r="77">
          <cell r="A77">
            <v>45401</v>
          </cell>
          <cell r="C77">
            <v>5.2263000000000002</v>
          </cell>
        </row>
        <row r="78">
          <cell r="A78">
            <v>45404</v>
          </cell>
          <cell r="C78">
            <v>5.2037000000000004</v>
          </cell>
        </row>
        <row r="79">
          <cell r="A79">
            <v>45405</v>
          </cell>
          <cell r="C79">
            <v>5.1619999999999999</v>
          </cell>
        </row>
        <row r="80">
          <cell r="A80">
            <v>45406</v>
          </cell>
          <cell r="C80">
            <v>5.1585999999999999</v>
          </cell>
        </row>
        <row r="81">
          <cell r="A81">
            <v>45407</v>
          </cell>
          <cell r="C81">
            <v>5.1673</v>
          </cell>
        </row>
        <row r="82">
          <cell r="A82">
            <v>45408</v>
          </cell>
          <cell r="C82">
            <v>5.1177999999999999</v>
          </cell>
        </row>
        <row r="83">
          <cell r="A83">
            <v>45411</v>
          </cell>
          <cell r="C83">
            <v>5.1148999999999996</v>
          </cell>
        </row>
        <row r="84">
          <cell r="A84">
            <v>45412</v>
          </cell>
          <cell r="C84">
            <v>5.1711999999999998</v>
          </cell>
        </row>
        <row r="85">
          <cell r="A85">
            <v>45414</v>
          </cell>
          <cell r="C85">
            <v>5.1177999999999999</v>
          </cell>
        </row>
        <row r="86">
          <cell r="A86">
            <v>45415</v>
          </cell>
          <cell r="C86">
            <v>5.0662000000000003</v>
          </cell>
        </row>
        <row r="87">
          <cell r="A87">
            <v>45418</v>
          </cell>
          <cell r="C87">
            <v>5.0720999999999998</v>
          </cell>
        </row>
        <row r="88">
          <cell r="A88">
            <v>45419</v>
          </cell>
          <cell r="C88">
            <v>5.0603999999999996</v>
          </cell>
        </row>
        <row r="89">
          <cell r="A89">
            <v>45420</v>
          </cell>
          <cell r="C89">
            <v>5.0880999999999998</v>
          </cell>
        </row>
        <row r="90">
          <cell r="A90">
            <v>45421</v>
          </cell>
          <cell r="C90">
            <v>5.1570999999999998</v>
          </cell>
        </row>
        <row r="91">
          <cell r="A91">
            <v>45422</v>
          </cell>
          <cell r="C91">
            <v>5.1458000000000004</v>
          </cell>
        </row>
        <row r="92">
          <cell r="A92">
            <v>45425</v>
          </cell>
          <cell r="C92">
            <v>5.1406000000000001</v>
          </cell>
        </row>
        <row r="93">
          <cell r="A93">
            <v>45426</v>
          </cell>
          <cell r="C93">
            <v>5.1349999999999998</v>
          </cell>
        </row>
        <row r="94">
          <cell r="A94">
            <v>45427</v>
          </cell>
          <cell r="C94">
            <v>5.1417000000000002</v>
          </cell>
        </row>
        <row r="95">
          <cell r="A95">
            <v>45428</v>
          </cell>
          <cell r="C95">
            <v>5.1264000000000003</v>
          </cell>
        </row>
        <row r="96">
          <cell r="A96">
            <v>45429</v>
          </cell>
          <cell r="C96">
            <v>5.1151</v>
          </cell>
        </row>
        <row r="97">
          <cell r="A97">
            <v>45432</v>
          </cell>
          <cell r="C97">
            <v>5.1078999999999999</v>
          </cell>
        </row>
        <row r="98">
          <cell r="A98">
            <v>45433</v>
          </cell>
          <cell r="C98">
            <v>5.1031000000000004</v>
          </cell>
        </row>
        <row r="99">
          <cell r="A99">
            <v>45434</v>
          </cell>
          <cell r="C99">
            <v>5.1496000000000004</v>
          </cell>
        </row>
        <row r="100">
          <cell r="A100">
            <v>45435</v>
          </cell>
          <cell r="C100">
            <v>5.1436999999999999</v>
          </cell>
        </row>
        <row r="101">
          <cell r="A101">
            <v>45436</v>
          </cell>
          <cell r="C101">
            <v>5.1501999999999999</v>
          </cell>
        </row>
        <row r="102">
          <cell r="A102">
            <v>45439</v>
          </cell>
          <cell r="C102">
            <v>5.1698000000000004</v>
          </cell>
        </row>
        <row r="103">
          <cell r="A103">
            <v>45440</v>
          </cell>
          <cell r="C103">
            <v>5.1532</v>
          </cell>
        </row>
        <row r="104">
          <cell r="A104">
            <v>45441</v>
          </cell>
          <cell r="C104">
            <v>5.1966000000000001</v>
          </cell>
        </row>
        <row r="105">
          <cell r="A105">
            <v>45443</v>
          </cell>
          <cell r="C105">
            <v>5.2409999999999997</v>
          </cell>
        </row>
        <row r="106">
          <cell r="A106">
            <v>45446</v>
          </cell>
          <cell r="C106">
            <v>5.2366999999999999</v>
          </cell>
        </row>
        <row r="107">
          <cell r="A107">
            <v>45447</v>
          </cell>
          <cell r="C107">
            <v>5.2680999999999996</v>
          </cell>
        </row>
        <row r="108">
          <cell r="A108">
            <v>45448</v>
          </cell>
          <cell r="C108">
            <v>5.2835000000000001</v>
          </cell>
        </row>
        <row r="109">
          <cell r="A109">
            <v>45449</v>
          </cell>
          <cell r="C109">
            <v>5.2675000000000001</v>
          </cell>
        </row>
        <row r="110">
          <cell r="A110">
            <v>45450</v>
          </cell>
          <cell r="C110">
            <v>5.2796000000000003</v>
          </cell>
        </row>
        <row r="111">
          <cell r="A111">
            <v>45453</v>
          </cell>
          <cell r="C111">
            <v>5.3659999999999997</v>
          </cell>
        </row>
        <row r="112">
          <cell r="A112">
            <v>45454</v>
          </cell>
          <cell r="C112">
            <v>5.3518999999999997</v>
          </cell>
        </row>
        <row r="113">
          <cell r="A113">
            <v>45455</v>
          </cell>
          <cell r="C113">
            <v>5.3884999999999996</v>
          </cell>
        </row>
        <row r="114">
          <cell r="A114">
            <v>45456</v>
          </cell>
          <cell r="C114">
            <v>5.3967999999999998</v>
          </cell>
        </row>
        <row r="115">
          <cell r="A115">
            <v>45457</v>
          </cell>
          <cell r="C115">
            <v>5.3624000000000001</v>
          </cell>
        </row>
        <row r="116">
          <cell r="A116">
            <v>45460</v>
          </cell>
          <cell r="C116">
            <v>5.4123999999999999</v>
          </cell>
        </row>
        <row r="117">
          <cell r="A117">
            <v>45461</v>
          </cell>
          <cell r="C117">
            <v>5.4067999999999996</v>
          </cell>
        </row>
        <row r="118">
          <cell r="A118">
            <v>45462</v>
          </cell>
          <cell r="C118">
            <v>5.4641000000000002</v>
          </cell>
        </row>
        <row r="119">
          <cell r="A119">
            <v>45463</v>
          </cell>
          <cell r="C119">
            <v>5.4248000000000003</v>
          </cell>
        </row>
        <row r="120">
          <cell r="A120">
            <v>45464</v>
          </cell>
          <cell r="C120">
            <v>5.4409999999999998</v>
          </cell>
        </row>
        <row r="121">
          <cell r="A121">
            <v>45467</v>
          </cell>
          <cell r="C121">
            <v>5.3994</v>
          </cell>
        </row>
        <row r="122">
          <cell r="A122">
            <v>45468</v>
          </cell>
          <cell r="C122">
            <v>5.4283000000000001</v>
          </cell>
        </row>
        <row r="123">
          <cell r="A123">
            <v>45469</v>
          </cell>
          <cell r="C123">
            <v>5.5091000000000001</v>
          </cell>
        </row>
        <row r="124">
          <cell r="A124">
            <v>45470</v>
          </cell>
          <cell r="C124">
            <v>5.5223000000000004</v>
          </cell>
        </row>
        <row r="125">
          <cell r="A125">
            <v>45471</v>
          </cell>
          <cell r="C125">
            <v>5.5583</v>
          </cell>
        </row>
        <row r="126">
          <cell r="A126">
            <v>45474</v>
          </cell>
          <cell r="C126">
            <v>5.5887000000000002</v>
          </cell>
        </row>
        <row r="127">
          <cell r="A127">
            <v>45475</v>
          </cell>
          <cell r="C127">
            <v>5.6670999999999996</v>
          </cell>
        </row>
        <row r="128">
          <cell r="A128">
            <v>45476</v>
          </cell>
          <cell r="C128">
            <v>5.5857000000000001</v>
          </cell>
        </row>
        <row r="129">
          <cell r="A129">
            <v>45477</v>
          </cell>
          <cell r="C129">
            <v>5.4832999999999998</v>
          </cell>
        </row>
        <row r="130">
          <cell r="A130">
            <v>45478</v>
          </cell>
          <cell r="C130">
            <v>5.4964000000000004</v>
          </cell>
        </row>
        <row r="131">
          <cell r="A131">
            <v>45481</v>
          </cell>
          <cell r="C131">
            <v>5.4714</v>
          </cell>
        </row>
        <row r="132">
          <cell r="A132">
            <v>45482</v>
          </cell>
          <cell r="C132">
            <v>5.4381000000000004</v>
          </cell>
        </row>
        <row r="133">
          <cell r="A133">
            <v>45483</v>
          </cell>
          <cell r="C133">
            <v>5.3960999999999997</v>
          </cell>
        </row>
        <row r="134">
          <cell r="A134">
            <v>45484</v>
          </cell>
          <cell r="C134">
            <v>5.4093999999999998</v>
          </cell>
        </row>
        <row r="135">
          <cell r="A135">
            <v>45485</v>
          </cell>
          <cell r="C135">
            <v>5.4523000000000001</v>
          </cell>
        </row>
        <row r="136">
          <cell r="A136">
            <v>45488</v>
          </cell>
          <cell r="C136">
            <v>5.4557000000000002</v>
          </cell>
        </row>
        <row r="137">
          <cell r="A137">
            <v>45489</v>
          </cell>
          <cell r="C137">
            <v>5.4268000000000001</v>
          </cell>
        </row>
        <row r="138">
          <cell r="A138">
            <v>45490</v>
          </cell>
          <cell r="C138">
            <v>5.4664000000000001</v>
          </cell>
        </row>
        <row r="139">
          <cell r="A139">
            <v>45491</v>
          </cell>
          <cell r="C139">
            <v>5.5419999999999998</v>
          </cell>
        </row>
        <row r="140">
          <cell r="A140">
            <v>45492</v>
          </cell>
          <cell r="C140">
            <v>5.5537000000000001</v>
          </cell>
        </row>
        <row r="141">
          <cell r="A141">
            <v>45495</v>
          </cell>
          <cell r="C141">
            <v>5.5591999999999997</v>
          </cell>
        </row>
        <row r="142">
          <cell r="A142">
            <v>45496</v>
          </cell>
          <cell r="C142">
            <v>5.5800999999999998</v>
          </cell>
        </row>
        <row r="143">
          <cell r="A143">
            <v>45497</v>
          </cell>
          <cell r="C143">
            <v>5.6340000000000003</v>
          </cell>
        </row>
        <row r="144">
          <cell r="A144">
            <v>45498</v>
          </cell>
          <cell r="C144">
            <v>5.6395999999999997</v>
          </cell>
        </row>
        <row r="145">
          <cell r="A145">
            <v>45499</v>
          </cell>
          <cell r="C145">
            <v>5.6459000000000001</v>
          </cell>
        </row>
        <row r="146">
          <cell r="A146">
            <v>45502</v>
          </cell>
          <cell r="C146">
            <v>5.6473000000000004</v>
          </cell>
        </row>
        <row r="147">
          <cell r="A147">
            <v>45503</v>
          </cell>
          <cell r="C147">
            <v>5.6525999999999996</v>
          </cell>
        </row>
        <row r="148">
          <cell r="A148">
            <v>45504</v>
          </cell>
          <cell r="C148">
            <v>5.6615000000000002</v>
          </cell>
        </row>
        <row r="149">
          <cell r="A149">
            <v>45505</v>
          </cell>
          <cell r="C149">
            <v>5.6675000000000004</v>
          </cell>
        </row>
        <row r="150">
          <cell r="A150">
            <v>45506</v>
          </cell>
          <cell r="C150">
            <v>5.7359999999999998</v>
          </cell>
        </row>
        <row r="151">
          <cell r="A151">
            <v>45509</v>
          </cell>
          <cell r="C151">
            <v>5.7640000000000002</v>
          </cell>
        </row>
        <row r="152">
          <cell r="A152">
            <v>45510</v>
          </cell>
          <cell r="C152">
            <v>5.6521999999999997</v>
          </cell>
        </row>
        <row r="153">
          <cell r="A153">
            <v>45511</v>
          </cell>
          <cell r="C153">
            <v>5.6086999999999998</v>
          </cell>
        </row>
        <row r="154">
          <cell r="A154">
            <v>45512</v>
          </cell>
          <cell r="C154">
            <v>5.6166</v>
          </cell>
        </row>
        <row r="155">
          <cell r="A155">
            <v>45513</v>
          </cell>
          <cell r="C155">
            <v>5.5109000000000004</v>
          </cell>
        </row>
        <row r="156">
          <cell r="A156">
            <v>45516</v>
          </cell>
          <cell r="C156">
            <v>5.4904999999999999</v>
          </cell>
        </row>
        <row r="157">
          <cell r="A157">
            <v>45517</v>
          </cell>
          <cell r="C157">
            <v>5.4869000000000003</v>
          </cell>
        </row>
        <row r="158">
          <cell r="A158">
            <v>45518</v>
          </cell>
          <cell r="C158">
            <v>5.4496000000000002</v>
          </cell>
        </row>
        <row r="159">
          <cell r="A159">
            <v>45519</v>
          </cell>
          <cell r="C159">
            <v>5.4645000000000001</v>
          </cell>
        </row>
        <row r="160">
          <cell r="A160">
            <v>45520</v>
          </cell>
          <cell r="C160">
            <v>5.4626000000000001</v>
          </cell>
        </row>
        <row r="161">
          <cell r="A161">
            <v>45523</v>
          </cell>
          <cell r="C161">
            <v>5.4230999999999998</v>
          </cell>
        </row>
        <row r="162">
          <cell r="A162">
            <v>45524</v>
          </cell>
          <cell r="C162">
            <v>5.4541000000000004</v>
          </cell>
        </row>
        <row r="163">
          <cell r="A163">
            <v>45525</v>
          </cell>
          <cell r="C163">
            <v>5.4701000000000004</v>
          </cell>
        </row>
        <row r="164">
          <cell r="A164">
            <v>45526</v>
          </cell>
          <cell r="C164">
            <v>5.5518000000000001</v>
          </cell>
        </row>
        <row r="165">
          <cell r="A165">
            <v>45527</v>
          </cell>
          <cell r="C165">
            <v>5.5256999999999996</v>
          </cell>
        </row>
        <row r="166">
          <cell r="A166">
            <v>45530</v>
          </cell>
          <cell r="C166">
            <v>5.4915000000000003</v>
          </cell>
        </row>
        <row r="167">
          <cell r="A167">
            <v>45531</v>
          </cell>
          <cell r="C167">
            <v>5.4962999999999997</v>
          </cell>
        </row>
        <row r="168">
          <cell r="A168">
            <v>45532</v>
          </cell>
          <cell r="C168">
            <v>5.5308999999999999</v>
          </cell>
        </row>
        <row r="169">
          <cell r="A169">
            <v>45533</v>
          </cell>
          <cell r="C169">
            <v>5.6352000000000002</v>
          </cell>
        </row>
        <row r="170">
          <cell r="A170">
            <v>45534</v>
          </cell>
          <cell r="C170">
            <v>5.6555999999999997</v>
          </cell>
        </row>
        <row r="171">
          <cell r="A171">
            <v>45537</v>
          </cell>
          <cell r="C171">
            <v>5.6223999999999998</v>
          </cell>
        </row>
        <row r="172">
          <cell r="A172">
            <v>45538</v>
          </cell>
          <cell r="C172">
            <v>5.6218000000000004</v>
          </cell>
        </row>
        <row r="173">
          <cell r="A173">
            <v>45539</v>
          </cell>
          <cell r="C173">
            <v>5.6353</v>
          </cell>
        </row>
        <row r="174">
          <cell r="A174">
            <v>45540</v>
          </cell>
          <cell r="C174">
            <v>5.6043000000000003</v>
          </cell>
        </row>
        <row r="175">
          <cell r="A175">
            <v>45541</v>
          </cell>
          <cell r="C175">
            <v>5.5696000000000003</v>
          </cell>
        </row>
        <row r="176">
          <cell r="A176">
            <v>45544</v>
          </cell>
          <cell r="C176">
            <v>5.6090999999999998</v>
          </cell>
        </row>
        <row r="177">
          <cell r="A177">
            <v>45545</v>
          </cell>
          <cell r="C177">
            <v>5.6247999999999996</v>
          </cell>
        </row>
        <row r="178">
          <cell r="A178">
            <v>45546</v>
          </cell>
          <cell r="C178">
            <v>5.6380999999999997</v>
          </cell>
        </row>
        <row r="179">
          <cell r="A179">
            <v>45547</v>
          </cell>
          <cell r="C179">
            <v>5.6547999999999998</v>
          </cell>
        </row>
        <row r="180">
          <cell r="A180">
            <v>45548</v>
          </cell>
          <cell r="C180">
            <v>5.5711000000000004</v>
          </cell>
        </row>
        <row r="181">
          <cell r="A181">
            <v>45551</v>
          </cell>
          <cell r="C181">
            <v>5.5201000000000002</v>
          </cell>
        </row>
        <row r="182">
          <cell r="A182">
            <v>45552</v>
          </cell>
          <cell r="C182">
            <v>5.5004</v>
          </cell>
        </row>
        <row r="183">
          <cell r="A183">
            <v>45553</v>
          </cell>
          <cell r="C183">
            <v>5.4760999999999997</v>
          </cell>
        </row>
        <row r="184">
          <cell r="A184">
            <v>45554</v>
          </cell>
          <cell r="C184">
            <v>5.4183000000000003</v>
          </cell>
        </row>
        <row r="185">
          <cell r="A185">
            <v>45555</v>
          </cell>
          <cell r="C185">
            <v>5.4768999999999997</v>
          </cell>
        </row>
        <row r="186">
          <cell r="A186">
            <v>45558</v>
          </cell>
          <cell r="C186">
            <v>5.5439999999999996</v>
          </cell>
        </row>
        <row r="187">
          <cell r="A187">
            <v>45559</v>
          </cell>
          <cell r="C187">
            <v>5.4695999999999998</v>
          </cell>
        </row>
        <row r="188">
          <cell r="A188">
            <v>45560</v>
          </cell>
          <cell r="C188">
            <v>5.4729999999999999</v>
          </cell>
        </row>
        <row r="189">
          <cell r="A189">
            <v>45561</v>
          </cell>
          <cell r="C189">
            <v>5.4405999999999999</v>
          </cell>
        </row>
        <row r="190">
          <cell r="A190">
            <v>45562</v>
          </cell>
          <cell r="C190">
            <v>5.4424999999999999</v>
          </cell>
        </row>
        <row r="191">
          <cell r="A191">
            <v>45565</v>
          </cell>
          <cell r="C191">
            <v>5.4474999999999998</v>
          </cell>
        </row>
        <row r="192">
          <cell r="A192">
            <v>45566</v>
          </cell>
          <cell r="C192">
            <v>5.4515000000000002</v>
          </cell>
        </row>
        <row r="193">
          <cell r="A193">
            <v>45567</v>
          </cell>
          <cell r="C193">
            <v>5.4298999999999999</v>
          </cell>
        </row>
        <row r="194">
          <cell r="A194">
            <v>45568</v>
          </cell>
          <cell r="C194">
            <v>5.4843999999999999</v>
          </cell>
        </row>
        <row r="195">
          <cell r="A195">
            <v>45569</v>
          </cell>
          <cell r="C195">
            <v>5.468</v>
          </cell>
        </row>
        <row r="196">
          <cell r="A196">
            <v>45572</v>
          </cell>
          <cell r="C196">
            <v>5.4619999999999997</v>
          </cell>
        </row>
        <row r="197">
          <cell r="A197">
            <v>45573</v>
          </cell>
          <cell r="C197">
            <v>5.5190999999999999</v>
          </cell>
        </row>
        <row r="198">
          <cell r="A198">
            <v>45574</v>
          </cell>
          <cell r="C198">
            <v>5.5731000000000002</v>
          </cell>
        </row>
        <row r="199">
          <cell r="A199">
            <v>45575</v>
          </cell>
          <cell r="C199">
            <v>5.5812999999999997</v>
          </cell>
        </row>
        <row r="200">
          <cell r="A200">
            <v>45576</v>
          </cell>
          <cell r="C200">
            <v>5.6257000000000001</v>
          </cell>
        </row>
        <row r="201">
          <cell r="A201">
            <v>45579</v>
          </cell>
          <cell r="C201">
            <v>5.6039000000000003</v>
          </cell>
        </row>
        <row r="202">
          <cell r="A202">
            <v>45580</v>
          </cell>
          <cell r="C202">
            <v>5.6372</v>
          </cell>
        </row>
        <row r="203">
          <cell r="A203">
            <v>45581</v>
          </cell>
          <cell r="C203">
            <v>5.6742999999999997</v>
          </cell>
        </row>
        <row r="204">
          <cell r="A204">
            <v>45582</v>
          </cell>
          <cell r="C204">
            <v>5.6752000000000002</v>
          </cell>
        </row>
        <row r="205">
          <cell r="A205">
            <v>45583</v>
          </cell>
          <cell r="C205">
            <v>5.6665999999999999</v>
          </cell>
        </row>
        <row r="206">
          <cell r="A206">
            <v>45586</v>
          </cell>
          <cell r="C206">
            <v>5.7061999999999999</v>
          </cell>
        </row>
        <row r="207">
          <cell r="A207">
            <v>45587</v>
          </cell>
          <cell r="C207">
            <v>5.6951999999999998</v>
          </cell>
        </row>
        <row r="208">
          <cell r="A208">
            <v>45588</v>
          </cell>
          <cell r="C208">
            <v>5.7142999999999997</v>
          </cell>
        </row>
        <row r="209">
          <cell r="A209">
            <v>45589</v>
          </cell>
          <cell r="C209">
            <v>5.7081</v>
          </cell>
        </row>
        <row r="210">
          <cell r="A210">
            <v>45590</v>
          </cell>
          <cell r="C210">
            <v>5.6962999999999999</v>
          </cell>
        </row>
        <row r="211">
          <cell r="A211">
            <v>45593</v>
          </cell>
          <cell r="C211">
            <v>5.6981999999999999</v>
          </cell>
        </row>
        <row r="212">
          <cell r="A212">
            <v>45594</v>
          </cell>
          <cell r="C212">
            <v>5.7134</v>
          </cell>
        </row>
        <row r="213">
          <cell r="A213">
            <v>45595</v>
          </cell>
          <cell r="C213">
            <v>5.7794999999999996</v>
          </cell>
        </row>
        <row r="214">
          <cell r="A214">
            <v>45596</v>
          </cell>
          <cell r="C214">
            <v>5.7773000000000003</v>
          </cell>
        </row>
        <row r="215">
          <cell r="A215">
            <v>45597</v>
          </cell>
          <cell r="C215">
            <v>5.8067000000000002</v>
          </cell>
        </row>
        <row r="216">
          <cell r="A216">
            <v>45600</v>
          </cell>
          <cell r="C216">
            <v>5.7892000000000001</v>
          </cell>
        </row>
        <row r="217">
          <cell r="A217">
            <v>45601</v>
          </cell>
          <cell r="C217">
            <v>5.7839999999999998</v>
          </cell>
        </row>
        <row r="218">
          <cell r="A218">
            <v>45602</v>
          </cell>
          <cell r="C218">
            <v>5.7641999999999998</v>
          </cell>
        </row>
        <row r="219">
          <cell r="A219">
            <v>45603</v>
          </cell>
          <cell r="C219">
            <v>5.6618000000000004</v>
          </cell>
        </row>
        <row r="220">
          <cell r="A220">
            <v>45604</v>
          </cell>
          <cell r="C220">
            <v>5.7641999999999998</v>
          </cell>
        </row>
        <row r="221">
          <cell r="A221">
            <v>45607</v>
          </cell>
          <cell r="C221">
            <v>5.7973999999999997</v>
          </cell>
        </row>
        <row r="222">
          <cell r="A222">
            <v>45608</v>
          </cell>
          <cell r="C222">
            <v>5.7687999999999997</v>
          </cell>
        </row>
        <row r="223">
          <cell r="A223">
            <v>45609</v>
          </cell>
          <cell r="C223">
            <v>5.7706999999999997</v>
          </cell>
        </row>
        <row r="224">
          <cell r="A224">
            <v>45610</v>
          </cell>
          <cell r="C224">
            <v>5.7878999999999996</v>
          </cell>
        </row>
        <row r="225">
          <cell r="A225">
            <v>45614</v>
          </cell>
          <cell r="C225">
            <v>5.7596999999999996</v>
          </cell>
        </row>
        <row r="226">
          <cell r="A226">
            <v>45615</v>
          </cell>
          <cell r="C226">
            <v>5.7736999999999998</v>
          </cell>
        </row>
        <row r="227">
          <cell r="A227">
            <v>45617</v>
          </cell>
          <cell r="C227">
            <v>5.8167</v>
          </cell>
        </row>
        <row r="228">
          <cell r="A228">
            <v>45618</v>
          </cell>
          <cell r="C228">
            <v>5.8117999999999999</v>
          </cell>
        </row>
        <row r="229">
          <cell r="A229">
            <v>45621</v>
          </cell>
          <cell r="C229">
            <v>5.7995999999999999</v>
          </cell>
        </row>
        <row r="230">
          <cell r="A230">
            <v>45622</v>
          </cell>
          <cell r="C230">
            <v>5.7984</v>
          </cell>
        </row>
        <row r="231">
          <cell r="A231">
            <v>45623</v>
          </cell>
          <cell r="C231">
            <v>5.8285</v>
          </cell>
        </row>
        <row r="232">
          <cell r="A232">
            <v>45624</v>
          </cell>
          <cell r="C232">
            <v>5.9865000000000004</v>
          </cell>
        </row>
        <row r="233">
          <cell r="A233">
            <v>45625</v>
          </cell>
          <cell r="C233">
            <v>6.0529000000000002</v>
          </cell>
        </row>
        <row r="234">
          <cell r="A234">
            <v>45628</v>
          </cell>
          <cell r="C234">
            <v>6.0628000000000002</v>
          </cell>
        </row>
        <row r="235">
          <cell r="A235">
            <v>45629</v>
          </cell>
          <cell r="C235">
            <v>6.0701000000000001</v>
          </cell>
        </row>
        <row r="236">
          <cell r="A236">
            <v>45630</v>
          </cell>
          <cell r="C236">
            <v>6.0575000000000001</v>
          </cell>
        </row>
        <row r="237">
          <cell r="A237">
            <v>45631</v>
          </cell>
          <cell r="C237">
            <v>5.9843000000000002</v>
          </cell>
        </row>
        <row r="238">
          <cell r="A238">
            <v>45632</v>
          </cell>
          <cell r="C238">
            <v>6.0286999999999997</v>
          </cell>
        </row>
        <row r="239">
          <cell r="A239">
            <v>45635</v>
          </cell>
          <cell r="C239">
            <v>6.0564</v>
          </cell>
        </row>
        <row r="240">
          <cell r="A240">
            <v>45636</v>
          </cell>
          <cell r="C240">
            <v>6.0522999999999998</v>
          </cell>
        </row>
        <row r="241">
          <cell r="A241">
            <v>45637</v>
          </cell>
          <cell r="C241">
            <v>6.0313999999999997</v>
          </cell>
        </row>
        <row r="242">
          <cell r="A242">
            <v>45638</v>
          </cell>
          <cell r="C242">
            <v>5.9401999999999999</v>
          </cell>
        </row>
        <row r="243">
          <cell r="A243">
            <v>45639</v>
          </cell>
          <cell r="C243">
            <v>6.0393999999999997</v>
          </cell>
        </row>
        <row r="244">
          <cell r="A244">
            <v>45642</v>
          </cell>
          <cell r="C244">
            <v>6.0503999999999998</v>
          </cell>
        </row>
        <row r="245">
          <cell r="A245">
            <v>45643</v>
          </cell>
          <cell r="C245">
            <v>6.1679000000000004</v>
          </cell>
        </row>
        <row r="246">
          <cell r="A246">
            <v>45644</v>
          </cell>
          <cell r="C246">
            <v>6.1618000000000004</v>
          </cell>
        </row>
        <row r="247">
          <cell r="A247">
            <v>45645</v>
          </cell>
          <cell r="C247">
            <v>6.1835000000000004</v>
          </cell>
        </row>
        <row r="248">
          <cell r="A248">
            <v>45646</v>
          </cell>
          <cell r="C248">
            <v>6.0773999999999999</v>
          </cell>
        </row>
        <row r="249">
          <cell r="A249">
            <v>45649</v>
          </cell>
          <cell r="C249">
            <v>6.1605999999999996</v>
          </cell>
        </row>
        <row r="250">
          <cell r="A250">
            <v>45650</v>
          </cell>
          <cell r="C250">
            <v>6.1527000000000003</v>
          </cell>
        </row>
        <row r="251">
          <cell r="A251">
            <v>45652</v>
          </cell>
          <cell r="C251">
            <v>6.165</v>
          </cell>
        </row>
        <row r="252">
          <cell r="A252">
            <v>45653</v>
          </cell>
          <cell r="C252">
            <v>6.1985000000000001</v>
          </cell>
        </row>
        <row r="253">
          <cell r="A253">
            <v>45656</v>
          </cell>
          <cell r="C253">
            <v>6.1917</v>
          </cell>
        </row>
        <row r="254">
          <cell r="A254">
            <v>45657</v>
          </cell>
          <cell r="C254">
            <v>6.1917</v>
          </cell>
        </row>
        <row r="255">
          <cell r="A255">
            <v>45659</v>
          </cell>
          <cell r="C255">
            <v>6.2080000000000002</v>
          </cell>
        </row>
        <row r="256">
          <cell r="A256">
            <v>45660</v>
          </cell>
          <cell r="C256">
            <v>6.1557000000000004</v>
          </cell>
        </row>
        <row r="257">
          <cell r="A257">
            <v>45663</v>
          </cell>
          <cell r="C257">
            <v>6.1113</v>
          </cell>
        </row>
        <row r="258">
          <cell r="A258">
            <v>45664</v>
          </cell>
          <cell r="C258">
            <v>6.0735000000000001</v>
          </cell>
        </row>
        <row r="259">
          <cell r="A259">
            <v>45665</v>
          </cell>
          <cell r="C259">
            <v>6.1315</v>
          </cell>
        </row>
        <row r="260">
          <cell r="A260">
            <v>45666</v>
          </cell>
          <cell r="C260">
            <v>6.0890000000000004</v>
          </cell>
        </row>
        <row r="261">
          <cell r="A261">
            <v>45667</v>
          </cell>
          <cell r="C261">
            <v>6.0959000000000003</v>
          </cell>
        </row>
        <row r="262">
          <cell r="A262">
            <v>45670</v>
          </cell>
          <cell r="C262">
            <v>6.1073000000000004</v>
          </cell>
        </row>
        <row r="263">
          <cell r="A263">
            <v>45671</v>
          </cell>
          <cell r="C263">
            <v>6.0664999999999996</v>
          </cell>
        </row>
        <row r="264">
          <cell r="A264">
            <v>45672</v>
          </cell>
          <cell r="C264">
            <v>6.0370999999999997</v>
          </cell>
        </row>
        <row r="265">
          <cell r="A265">
            <v>45673</v>
          </cell>
          <cell r="C265">
            <v>6.0316000000000001</v>
          </cell>
        </row>
        <row r="266">
          <cell r="A266">
            <v>45674</v>
          </cell>
          <cell r="C266">
            <v>6.0602999999999998</v>
          </cell>
        </row>
        <row r="267">
          <cell r="A267">
            <v>45677</v>
          </cell>
          <cell r="C267">
            <v>6.0491999999999999</v>
          </cell>
        </row>
        <row r="268">
          <cell r="A268">
            <v>45678</v>
          </cell>
          <cell r="C268">
            <v>6.0434000000000001</v>
          </cell>
        </row>
        <row r="269">
          <cell r="A269">
            <v>45679</v>
          </cell>
          <cell r="C269">
            <v>5.9668000000000001</v>
          </cell>
        </row>
        <row r="270">
          <cell r="A270">
            <v>45680</v>
          </cell>
          <cell r="C270">
            <v>5.9393000000000002</v>
          </cell>
        </row>
        <row r="271">
          <cell r="A271">
            <v>45681</v>
          </cell>
          <cell r="C271">
            <v>5.8918999999999997</v>
          </cell>
        </row>
        <row r="272">
          <cell r="A272">
            <v>45684</v>
          </cell>
          <cell r="C272">
            <v>5.9265999999999996</v>
          </cell>
        </row>
        <row r="273">
          <cell r="A273">
            <v>45685</v>
          </cell>
          <cell r="C273">
            <v>5.8924000000000003</v>
          </cell>
        </row>
        <row r="274">
          <cell r="A274">
            <v>45686</v>
          </cell>
          <cell r="C274">
            <v>5.859</v>
          </cell>
        </row>
        <row r="275">
          <cell r="A275">
            <v>45687</v>
          </cell>
          <cell r="C275">
            <v>5.9</v>
          </cell>
        </row>
        <row r="276">
          <cell r="A276">
            <v>45688</v>
          </cell>
          <cell r="C276">
            <v>5.8295000000000003</v>
          </cell>
        </row>
        <row r="277">
          <cell r="A277">
            <v>45691</v>
          </cell>
          <cell r="C277">
            <v>5.8681000000000001</v>
          </cell>
        </row>
        <row r="278">
          <cell r="A278">
            <v>45692</v>
          </cell>
          <cell r="C278">
            <v>5.7920999999999996</v>
          </cell>
        </row>
        <row r="279">
          <cell r="A279">
            <v>45693</v>
          </cell>
          <cell r="C279">
            <v>5.7991000000000001</v>
          </cell>
        </row>
        <row r="280">
          <cell r="A280">
            <v>45694</v>
          </cell>
          <cell r="C280">
            <v>5.7850000000000001</v>
          </cell>
        </row>
        <row r="281">
          <cell r="A281">
            <v>45695</v>
          </cell>
          <cell r="C281">
            <v>5.7550999999999997</v>
          </cell>
        </row>
        <row r="282">
          <cell r="A282">
            <v>45698</v>
          </cell>
          <cell r="C282">
            <v>5.7801999999999998</v>
          </cell>
        </row>
        <row r="283">
          <cell r="A283">
            <v>45699</v>
          </cell>
          <cell r="C283">
            <v>5.7782</v>
          </cell>
        </row>
        <row r="284">
          <cell r="A284">
            <v>45700</v>
          </cell>
          <cell r="C284">
            <v>5.7705000000000002</v>
          </cell>
        </row>
        <row r="285">
          <cell r="A285">
            <v>45701</v>
          </cell>
          <cell r="C285">
            <v>5.7782</v>
          </cell>
        </row>
        <row r="286">
          <cell r="A286">
            <v>45702</v>
          </cell>
          <cell r="C286">
            <v>5.7276999999999996</v>
          </cell>
        </row>
        <row r="287">
          <cell r="A287">
            <v>45705</v>
          </cell>
          <cell r="C287">
            <v>5.7099000000000002</v>
          </cell>
        </row>
        <row r="288">
          <cell r="A288">
            <v>45706</v>
          </cell>
          <cell r="C288">
            <v>5.6973000000000003</v>
          </cell>
        </row>
        <row r="289">
          <cell r="A289">
            <v>45707</v>
          </cell>
          <cell r="C289">
            <v>5.7081</v>
          </cell>
        </row>
        <row r="290">
          <cell r="A290">
            <v>45708</v>
          </cell>
          <cell r="C290">
            <v>5.7012999999999998</v>
          </cell>
        </row>
        <row r="291">
          <cell r="A291">
            <v>45709</v>
          </cell>
          <cell r="C291">
            <v>5.7020999999999997</v>
          </cell>
        </row>
        <row r="292">
          <cell r="A292">
            <v>45712</v>
          </cell>
          <cell r="C292">
            <v>5.7252000000000001</v>
          </cell>
        </row>
        <row r="293">
          <cell r="A293">
            <v>45713</v>
          </cell>
          <cell r="C293">
            <v>5.7773000000000003</v>
          </cell>
        </row>
        <row r="294">
          <cell r="A294">
            <v>45714</v>
          </cell>
          <cell r="C294">
            <v>5.7751000000000001</v>
          </cell>
        </row>
        <row r="295">
          <cell r="A295">
            <v>45715</v>
          </cell>
          <cell r="C295">
            <v>5.8221999999999996</v>
          </cell>
        </row>
        <row r="296">
          <cell r="A296">
            <v>45716</v>
          </cell>
          <cell r="C296">
            <v>5.8482000000000003</v>
          </cell>
        </row>
        <row r="297">
          <cell r="A297">
            <v>45721</v>
          </cell>
          <cell r="C297">
            <v>5.7907999999999999</v>
          </cell>
        </row>
        <row r="298">
          <cell r="A298">
            <v>45722</v>
          </cell>
          <cell r="C298">
            <v>5.7483000000000004</v>
          </cell>
        </row>
        <row r="299">
          <cell r="A299">
            <v>45723</v>
          </cell>
          <cell r="C299">
            <v>5.7682000000000002</v>
          </cell>
        </row>
        <row r="300">
          <cell r="A300">
            <v>45726</v>
          </cell>
          <cell r="C300">
            <v>5.7923999999999998</v>
          </cell>
        </row>
        <row r="301">
          <cell r="A301">
            <v>45727</v>
          </cell>
          <cell r="C301">
            <v>5.8341000000000003</v>
          </cell>
        </row>
        <row r="302">
          <cell r="A302">
            <v>45728</v>
          </cell>
          <cell r="C302">
            <v>5.8262</v>
          </cell>
        </row>
        <row r="303">
          <cell r="A303">
            <v>45729</v>
          </cell>
          <cell r="C303">
            <v>5.8125</v>
          </cell>
        </row>
        <row r="304">
          <cell r="A304">
            <v>45730</v>
          </cell>
          <cell r="C304">
            <v>5.7412999999999998</v>
          </cell>
        </row>
        <row r="305">
          <cell r="A305">
            <v>45733</v>
          </cell>
          <cell r="C305">
            <v>5.7076000000000002</v>
          </cell>
        </row>
        <row r="306">
          <cell r="A306">
            <v>45734</v>
          </cell>
          <cell r="C306">
            <v>5.6845999999999997</v>
          </cell>
        </row>
        <row r="307">
          <cell r="A307">
            <v>45735</v>
          </cell>
          <cell r="C307">
            <v>5.6650999999999998</v>
          </cell>
        </row>
        <row r="308">
          <cell r="A308">
            <v>45736</v>
          </cell>
          <cell r="C308">
            <v>5.6622000000000003</v>
          </cell>
        </row>
        <row r="309">
          <cell r="A309">
            <v>45737</v>
          </cell>
          <cell r="C309">
            <v>5.7234999999999996</v>
          </cell>
        </row>
        <row r="310">
          <cell r="A310">
            <v>45740</v>
          </cell>
          <cell r="C310">
            <v>5.7397</v>
          </cell>
        </row>
        <row r="311">
          <cell r="A311">
            <v>45741</v>
          </cell>
          <cell r="C311">
            <v>5.6985999999999999</v>
          </cell>
        </row>
        <row r="312">
          <cell r="A312">
            <v>45742</v>
          </cell>
          <cell r="C312">
            <v>5.7291999999999996</v>
          </cell>
        </row>
        <row r="313">
          <cell r="A313">
            <v>45743</v>
          </cell>
          <cell r="C313">
            <v>5.7468000000000004</v>
          </cell>
        </row>
        <row r="314">
          <cell r="A314">
            <v>45744</v>
          </cell>
          <cell r="C314">
            <v>5.7653999999999996</v>
          </cell>
        </row>
        <row r="315">
          <cell r="A315">
            <v>45747</v>
          </cell>
          <cell r="C315">
            <v>5.7416</v>
          </cell>
        </row>
        <row r="316">
          <cell r="A316">
            <v>45748</v>
          </cell>
          <cell r="C316">
            <v>5.7045000000000003</v>
          </cell>
        </row>
        <row r="317">
          <cell r="A317">
            <v>45749</v>
          </cell>
          <cell r="C317">
            <v>5.6917999999999997</v>
          </cell>
        </row>
        <row r="318">
          <cell r="A318">
            <v>45750</v>
          </cell>
          <cell r="C318">
            <v>5.6062000000000003</v>
          </cell>
        </row>
        <row r="319">
          <cell r="A319">
            <v>45751</v>
          </cell>
          <cell r="C319">
            <v>5.7770999999999999</v>
          </cell>
        </row>
        <row r="320">
          <cell r="A320">
            <v>45754</v>
          </cell>
          <cell r="C320">
            <v>5.8871000000000002</v>
          </cell>
        </row>
        <row r="321">
          <cell r="A321">
            <v>45755</v>
          </cell>
          <cell r="C321">
            <v>5.9362000000000004</v>
          </cell>
        </row>
        <row r="322">
          <cell r="A322">
            <v>45756</v>
          </cell>
          <cell r="C322">
            <v>6.0598999999999998</v>
          </cell>
        </row>
        <row r="323">
          <cell r="A323">
            <v>45757</v>
          </cell>
          <cell r="C323">
            <v>5.9108999999999998</v>
          </cell>
        </row>
        <row r="324">
          <cell r="A324">
            <v>45758</v>
          </cell>
          <cell r="C324">
            <v>5.8731</v>
          </cell>
        </row>
        <row r="325">
          <cell r="A325">
            <v>45761</v>
          </cell>
          <cell r="C325">
            <v>5.8418999999999999</v>
          </cell>
        </row>
        <row r="326">
          <cell r="A326">
            <v>45762</v>
          </cell>
          <cell r="C326">
            <v>5.8700999999999999</v>
          </cell>
        </row>
        <row r="327">
          <cell r="A327">
            <v>45763</v>
          </cell>
          <cell r="C327">
            <v>5.8802000000000003</v>
          </cell>
        </row>
        <row r="328">
          <cell r="A328">
            <v>45764</v>
          </cell>
          <cell r="C328">
            <v>5.8552999999999997</v>
          </cell>
        </row>
        <row r="329">
          <cell r="A329">
            <v>45769</v>
          </cell>
          <cell r="C329">
            <v>5.7489999999999997</v>
          </cell>
        </row>
        <row r="330">
          <cell r="A330">
            <v>45770</v>
          </cell>
          <cell r="C330">
            <v>5.6874000000000002</v>
          </cell>
        </row>
        <row r="331">
          <cell r="A331">
            <v>45771</v>
          </cell>
          <cell r="C331">
            <v>5.6731999999999996</v>
          </cell>
        </row>
        <row r="332">
          <cell r="A332">
            <v>45772</v>
          </cell>
          <cell r="C332">
            <v>5.6840000000000002</v>
          </cell>
        </row>
        <row r="333">
          <cell r="A333">
            <v>45775</v>
          </cell>
          <cell r="C333">
            <v>5.6675000000000004</v>
          </cell>
        </row>
        <row r="334">
          <cell r="A334">
            <v>45776</v>
          </cell>
          <cell r="C334">
            <v>5.6460999999999997</v>
          </cell>
        </row>
        <row r="335">
          <cell r="A335">
            <v>45777</v>
          </cell>
          <cell r="C335">
            <v>5.6601999999999997</v>
          </cell>
        </row>
        <row r="336">
          <cell r="A336">
            <v>45779</v>
          </cell>
          <cell r="C336">
            <v>5.6387999999999998</v>
          </cell>
        </row>
        <row r="337">
          <cell r="A337">
            <v>45782</v>
          </cell>
          <cell r="C337">
            <v>5.6513999999999998</v>
          </cell>
        </row>
        <row r="338">
          <cell r="A338">
            <v>45783</v>
          </cell>
          <cell r="C338">
            <v>5.7203999999999997</v>
          </cell>
        </row>
        <row r="339">
          <cell r="A339">
            <v>45784</v>
          </cell>
          <cell r="C339">
            <v>5.7367999999999997</v>
          </cell>
        </row>
        <row r="340">
          <cell r="A340">
            <v>45785</v>
          </cell>
          <cell r="C340">
            <v>5.6853999999999996</v>
          </cell>
        </row>
        <row r="341">
          <cell r="A341">
            <v>45786</v>
          </cell>
          <cell r="C341">
            <v>5.6505000000000001</v>
          </cell>
        </row>
        <row r="342">
          <cell r="A342">
            <v>45789</v>
          </cell>
          <cell r="C342">
            <v>5.6816000000000004</v>
          </cell>
        </row>
        <row r="343">
          <cell r="A343">
            <v>45790</v>
          </cell>
          <cell r="C343">
            <v>5.6256000000000004</v>
          </cell>
        </row>
        <row r="344">
          <cell r="A344">
            <v>45791</v>
          </cell>
          <cell r="C344">
            <v>5.6093999999999999</v>
          </cell>
        </row>
        <row r="345">
          <cell r="A345">
            <v>45792</v>
          </cell>
          <cell r="C345">
            <v>5.6322000000000001</v>
          </cell>
        </row>
        <row r="346">
          <cell r="A346">
            <v>45793</v>
          </cell>
          <cell r="C346">
            <v>5.6919000000000004</v>
          </cell>
        </row>
        <row r="347">
          <cell r="A347">
            <v>45796</v>
          </cell>
          <cell r="C347">
            <v>5.6585000000000001</v>
          </cell>
        </row>
        <row r="348">
          <cell r="A348">
            <v>45797</v>
          </cell>
          <cell r="C348">
            <v>5.6614000000000004</v>
          </cell>
        </row>
        <row r="349">
          <cell r="A349">
            <v>45798</v>
          </cell>
          <cell r="C349">
            <v>5.6565000000000003</v>
          </cell>
        </row>
        <row r="350">
          <cell r="A350">
            <v>45799</v>
          </cell>
          <cell r="C350">
            <v>5.6383999999999999</v>
          </cell>
        </row>
        <row r="351">
          <cell r="A351">
            <v>45800</v>
          </cell>
          <cell r="C351">
            <v>5.6925999999999997</v>
          </cell>
        </row>
        <row r="352">
          <cell r="A352">
            <v>45803</v>
          </cell>
          <cell r="C352">
            <v>5.6612999999999998</v>
          </cell>
        </row>
        <row r="353">
          <cell r="A353">
            <v>45804</v>
          </cell>
          <cell r="C353">
            <v>5.6532999999999998</v>
          </cell>
        </row>
        <row r="354">
          <cell r="A354">
            <v>45805</v>
          </cell>
          <cell r="C354">
            <v>5.6929999999999996</v>
          </cell>
        </row>
        <row r="355">
          <cell r="A355">
            <v>45806</v>
          </cell>
          <cell r="C355">
            <v>5.6553000000000004</v>
          </cell>
        </row>
        <row r="356">
          <cell r="A356">
            <v>45807</v>
          </cell>
          <cell r="C356">
            <v>5.7081</v>
          </cell>
        </row>
        <row r="357">
          <cell r="A357">
            <v>45810</v>
          </cell>
          <cell r="C357">
            <v>5.6931000000000003</v>
          </cell>
        </row>
        <row r="358">
          <cell r="A358">
            <v>45811</v>
          </cell>
          <cell r="C358">
            <v>5.6688000000000001</v>
          </cell>
        </row>
        <row r="359">
          <cell r="A359">
            <v>45812</v>
          </cell>
          <cell r="C359">
            <v>5.6326000000000001</v>
          </cell>
        </row>
        <row r="360">
          <cell r="A360">
            <v>45813</v>
          </cell>
          <cell r="C360">
            <v>5.5963000000000003</v>
          </cell>
        </row>
        <row r="361">
          <cell r="A361">
            <v>45814</v>
          </cell>
          <cell r="C361">
            <v>5.5941000000000001</v>
          </cell>
        </row>
        <row r="362">
          <cell r="A362">
            <v>45817</v>
          </cell>
          <cell r="C362">
            <v>5.5754000000000001</v>
          </cell>
        </row>
        <row r="363">
          <cell r="A363">
            <v>45818</v>
          </cell>
          <cell r="C363">
            <v>5.5551000000000004</v>
          </cell>
        </row>
        <row r="364">
          <cell r="A364">
            <v>45819</v>
          </cell>
          <cell r="C364">
            <v>5.5384000000000002</v>
          </cell>
        </row>
        <row r="365">
          <cell r="A365">
            <v>45820</v>
          </cell>
          <cell r="C365">
            <v>5.5381999999999998</v>
          </cell>
        </row>
        <row r="366">
          <cell r="A366">
            <v>45821</v>
          </cell>
          <cell r="C366">
            <v>5.5646000000000004</v>
          </cell>
        </row>
        <row r="367">
          <cell r="A367">
            <v>45824</v>
          </cell>
          <cell r="C367">
            <v>5.5117000000000003</v>
          </cell>
        </row>
        <row r="368">
          <cell r="A368">
            <v>45825</v>
          </cell>
          <cell r="C368">
            <v>5.4767000000000001</v>
          </cell>
        </row>
        <row r="369">
          <cell r="A369">
            <v>45826</v>
          </cell>
          <cell r="C369">
            <v>5.4873000000000003</v>
          </cell>
        </row>
        <row r="370">
          <cell r="A370">
            <v>45828</v>
          </cell>
          <cell r="C370">
            <v>5.4950999999999999</v>
          </cell>
        </row>
        <row r="371">
          <cell r="A371">
            <v>45831</v>
          </cell>
          <cell r="C371">
            <v>5.5206999999999997</v>
          </cell>
        </row>
        <row r="372">
          <cell r="A372">
            <v>45832</v>
          </cell>
          <cell r="C372">
            <v>5.4931999999999999</v>
          </cell>
        </row>
        <row r="373">
          <cell r="A373">
            <v>45833</v>
          </cell>
          <cell r="C373">
            <v>5.5420999999999996</v>
          </cell>
        </row>
        <row r="374">
          <cell r="A374">
            <v>45834</v>
          </cell>
          <cell r="C374">
            <v>5.5138999999999996</v>
          </cell>
        </row>
        <row r="375">
          <cell r="A375">
            <v>45835</v>
          </cell>
          <cell r="C375">
            <v>5.4752999999999998</v>
          </cell>
        </row>
        <row r="376">
          <cell r="A376">
            <v>45838</v>
          </cell>
          <cell r="C376">
            <v>5.4565000000000001</v>
          </cell>
        </row>
        <row r="377">
          <cell r="A377">
            <v>45839</v>
          </cell>
          <cell r="C377">
            <v>5.4504999999999999</v>
          </cell>
        </row>
        <row r="378">
          <cell r="A378">
            <v>45840</v>
          </cell>
          <cell r="C378">
            <v>5.4505999999999997</v>
          </cell>
        </row>
        <row r="379">
          <cell r="A379">
            <v>45841</v>
          </cell>
          <cell r="C379">
            <v>5.4202000000000004</v>
          </cell>
        </row>
        <row r="380">
          <cell r="A380">
            <v>45842</v>
          </cell>
          <cell r="C380">
            <v>5.4084000000000003</v>
          </cell>
        </row>
        <row r="381">
          <cell r="A381">
            <v>45845</v>
          </cell>
          <cell r="C381">
            <v>5.4546000000000001</v>
          </cell>
        </row>
        <row r="382">
          <cell r="A382">
            <v>45846</v>
          </cell>
          <cell r="C382">
            <v>5.4565000000000001</v>
          </cell>
        </row>
        <row r="383">
          <cell r="A383">
            <v>45847</v>
          </cell>
          <cell r="C383">
            <v>5.4619999999999997</v>
          </cell>
        </row>
        <row r="384">
          <cell r="A384">
            <v>45848</v>
          </cell>
          <cell r="C384">
            <v>5.5427</v>
          </cell>
        </row>
        <row r="385">
          <cell r="A385">
            <v>45849</v>
          </cell>
          <cell r="C385">
            <v>5.5716000000000001</v>
          </cell>
        </row>
        <row r="386">
          <cell r="A386">
            <v>45852</v>
          </cell>
          <cell r="C386">
            <v>5.5589000000000004</v>
          </cell>
        </row>
        <row r="387">
          <cell r="A387">
            <v>45853</v>
          </cell>
          <cell r="C387">
            <v>5.5568999999999997</v>
          </cell>
        </row>
        <row r="388">
          <cell r="A388">
            <v>45854</v>
          </cell>
          <cell r="C388">
            <v>5.5716000000000001</v>
          </cell>
        </row>
        <row r="389">
          <cell r="A389">
            <v>45855</v>
          </cell>
          <cell r="C389">
            <v>5.5731000000000002</v>
          </cell>
        </row>
        <row r="390">
          <cell r="A390">
            <v>45856</v>
          </cell>
          <cell r="C390">
            <v>5.5460000000000003</v>
          </cell>
        </row>
        <row r="391">
          <cell r="A391">
            <v>45859</v>
          </cell>
          <cell r="C391">
            <v>5.5618999999999996</v>
          </cell>
        </row>
        <row r="392">
          <cell r="A392">
            <v>45860</v>
          </cell>
          <cell r="C392">
            <v>5.5702999999999996</v>
          </cell>
        </row>
        <row r="393">
          <cell r="A393">
            <v>45861</v>
          </cell>
          <cell r="C393">
            <v>5.5530999999999997</v>
          </cell>
        </row>
        <row r="394">
          <cell r="A394">
            <v>45862</v>
          </cell>
          <cell r="C394">
            <v>5.5232999999999999</v>
          </cell>
        </row>
        <row r="395">
          <cell r="A395">
            <v>45863</v>
          </cell>
          <cell r="C395">
            <v>5.5419999999999998</v>
          </cell>
        </row>
        <row r="396">
          <cell r="A396">
            <v>45866</v>
          </cell>
          <cell r="C396">
            <v>5.5871000000000004</v>
          </cell>
        </row>
        <row r="397">
          <cell r="A397">
            <v>45867</v>
          </cell>
          <cell r="C397">
            <v>5.5758000000000001</v>
          </cell>
        </row>
        <row r="398">
          <cell r="A398">
            <v>45868</v>
          </cell>
          <cell r="C398">
            <v>5.6028000000000002</v>
          </cell>
        </row>
        <row r="399">
          <cell r="A399">
            <v>45869</v>
          </cell>
          <cell r="C399">
            <v>5.6014999999999997</v>
          </cell>
        </row>
        <row r="400">
          <cell r="A400">
            <v>45870</v>
          </cell>
          <cell r="C400">
            <v>5.5430000000000001</v>
          </cell>
        </row>
        <row r="401">
          <cell r="A401">
            <v>45873</v>
          </cell>
          <cell r="C401">
            <v>5.5106999999999999</v>
          </cell>
        </row>
        <row r="402">
          <cell r="A402">
            <v>45874</v>
          </cell>
          <cell r="C402">
            <v>5.5113000000000003</v>
          </cell>
        </row>
        <row r="403">
          <cell r="A403">
            <v>45875</v>
          </cell>
          <cell r="C403">
            <v>5.4795999999999996</v>
          </cell>
        </row>
        <row r="404">
          <cell r="A404">
            <v>45876</v>
          </cell>
          <cell r="C404">
            <v>5.4631999999999996</v>
          </cell>
        </row>
        <row r="405">
          <cell r="A405">
            <v>45877</v>
          </cell>
          <cell r="C405">
            <v>5.4248000000000003</v>
          </cell>
        </row>
        <row r="406">
          <cell r="A406">
            <v>45880</v>
          </cell>
          <cell r="C406">
            <v>5.4466999999999999</v>
          </cell>
        </row>
        <row r="407">
          <cell r="A407">
            <v>45881</v>
          </cell>
          <cell r="C407">
            <v>5.4046000000000003</v>
          </cell>
        </row>
        <row r="408">
          <cell r="A408">
            <v>45882</v>
          </cell>
          <cell r="C408">
            <v>5.3921999999999999</v>
          </cell>
        </row>
        <row r="409">
          <cell r="A409">
            <v>45883</v>
          </cell>
          <cell r="C409">
            <v>5.4089</v>
          </cell>
        </row>
        <row r="410">
          <cell r="A410">
            <v>45884</v>
          </cell>
          <cell r="C410">
            <v>5.3921999999999999</v>
          </cell>
        </row>
        <row r="411">
          <cell r="A411">
            <v>45887</v>
          </cell>
          <cell r="C411">
            <v>5.4149000000000003</v>
          </cell>
        </row>
        <row r="412">
          <cell r="A412">
            <v>45888</v>
          </cell>
          <cell r="C412">
            <v>5.4710000000000001</v>
          </cell>
        </row>
        <row r="413">
          <cell r="A413">
            <v>45889</v>
          </cell>
          <cell r="C413">
            <v>5.4720000000000004</v>
          </cell>
        </row>
        <row r="414">
          <cell r="A414">
            <v>45890</v>
          </cell>
          <cell r="C414">
            <v>5.4821999999999997</v>
          </cell>
        </row>
        <row r="415">
          <cell r="A415">
            <v>45891</v>
          </cell>
          <cell r="C415">
            <v>5.4386000000000001</v>
          </cell>
        </row>
        <row r="416">
          <cell r="A416">
            <v>45894</v>
          </cell>
          <cell r="C416">
            <v>5.4168000000000003</v>
          </cell>
        </row>
        <row r="417">
          <cell r="A417">
            <v>45895</v>
          </cell>
          <cell r="C417">
            <v>5.4211999999999998</v>
          </cell>
        </row>
        <row r="418">
          <cell r="A418">
            <v>45896</v>
          </cell>
          <cell r="C418">
            <v>5.4421999999999997</v>
          </cell>
        </row>
        <row r="419">
          <cell r="A419">
            <v>45897</v>
          </cell>
          <cell r="C419">
            <v>5.4108999999999998</v>
          </cell>
        </row>
        <row r="420">
          <cell r="A420">
            <v>45898</v>
          </cell>
          <cell r="C420">
            <v>5.4257999999999997</v>
          </cell>
        </row>
        <row r="421">
          <cell r="A421">
            <v>45901</v>
          </cell>
          <cell r="C421">
            <v>5.4371999999999998</v>
          </cell>
        </row>
        <row r="422">
          <cell r="A422">
            <v>45902</v>
          </cell>
          <cell r="C422">
            <v>5.4673999999999996</v>
          </cell>
        </row>
        <row r="423">
          <cell r="A423">
            <v>45903</v>
          </cell>
          <cell r="C423">
            <v>5.4478999999999997</v>
          </cell>
        </row>
        <row r="424">
          <cell r="A424">
            <v>45904</v>
          </cell>
          <cell r="C424">
            <v>5.4581</v>
          </cell>
        </row>
        <row r="425">
          <cell r="A425">
            <v>45905</v>
          </cell>
          <cell r="C425">
            <v>5.3962000000000003</v>
          </cell>
        </row>
        <row r="426">
          <cell r="A426">
            <v>45908</v>
          </cell>
          <cell r="C426">
            <v>5.4272</v>
          </cell>
        </row>
        <row r="427">
          <cell r="A427">
            <v>45909</v>
          </cell>
          <cell r="C427">
            <v>5.4272</v>
          </cell>
        </row>
        <row r="428">
          <cell r="A428">
            <v>45910</v>
          </cell>
          <cell r="C428">
            <v>5.4116999999999997</v>
          </cell>
        </row>
        <row r="429">
          <cell r="A429">
            <v>45911</v>
          </cell>
          <cell r="C429">
            <v>5.3852000000000002</v>
          </cell>
        </row>
        <row r="430">
          <cell r="A430">
            <v>45912</v>
          </cell>
          <cell r="C430">
            <v>5.3670999999999998</v>
          </cell>
        </row>
        <row r="431">
          <cell r="A431">
            <v>45915</v>
          </cell>
          <cell r="C431">
            <v>5.3201999999999998</v>
          </cell>
        </row>
        <row r="432">
          <cell r="A432">
            <v>45916</v>
          </cell>
          <cell r="C432">
            <v>5.3090000000000002</v>
          </cell>
        </row>
        <row r="433">
          <cell r="A433">
            <v>45917</v>
          </cell>
          <cell r="C433">
            <v>5.3005000000000004</v>
          </cell>
        </row>
        <row r="434">
          <cell r="A434">
            <v>45918</v>
          </cell>
          <cell r="C434">
            <v>5.3003999999999998</v>
          </cell>
        </row>
        <row r="435">
          <cell r="A435">
            <v>45919</v>
          </cell>
          <cell r="C435">
            <v>5.327</v>
          </cell>
        </row>
        <row r="436">
          <cell r="A436">
            <v>45922</v>
          </cell>
          <cell r="C436">
            <v>5.3451000000000004</v>
          </cell>
        </row>
        <row r="437">
          <cell r="A437">
            <v>45923</v>
          </cell>
          <cell r="C437">
            <v>5.3056999999999999</v>
          </cell>
        </row>
        <row r="438">
          <cell r="A438">
            <v>45924</v>
          </cell>
          <cell r="C438">
            <v>5.3106</v>
          </cell>
        </row>
        <row r="439">
          <cell r="A439">
            <v>45925</v>
          </cell>
          <cell r="C439">
            <v>5.3418999999999999</v>
          </cell>
        </row>
        <row r="440">
          <cell r="A440">
            <v>45926</v>
          </cell>
          <cell r="C440">
            <v>5.3438999999999997</v>
          </cell>
        </row>
        <row r="441">
          <cell r="A441">
            <v>45929</v>
          </cell>
          <cell r="C441">
            <v>5.3223000000000003</v>
          </cell>
        </row>
        <row r="442">
          <cell r="A442">
            <v>45930</v>
          </cell>
          <cell r="C442">
            <v>5.3179999999999996</v>
          </cell>
        </row>
        <row r="443">
          <cell r="A443">
            <v>45931</v>
          </cell>
          <cell r="C443">
            <v>5.3201999999999998</v>
          </cell>
        </row>
        <row r="444">
          <cell r="A444">
            <v>45932</v>
          </cell>
          <cell r="C444">
            <v>5.3442999999999996</v>
          </cell>
        </row>
        <row r="445">
          <cell r="A445">
            <v>45933</v>
          </cell>
          <cell r="C445">
            <v>5.3491999999999997</v>
          </cell>
        </row>
        <row r="446">
          <cell r="A446">
            <v>45936</v>
          </cell>
          <cell r="C446">
            <v>5.3220000000000001</v>
          </cell>
        </row>
        <row r="447">
          <cell r="A447">
            <v>45937</v>
          </cell>
          <cell r="C447">
            <v>5.3357000000000001</v>
          </cell>
        </row>
        <row r="448">
          <cell r="A448">
            <v>45938</v>
          </cell>
          <cell r="C448">
            <v>5.3421000000000003</v>
          </cell>
        </row>
        <row r="449">
          <cell r="A449">
            <v>45939</v>
          </cell>
          <cell r="C449">
            <v>5.3532000000000002</v>
          </cell>
        </row>
        <row r="450">
          <cell r="A450">
            <v>45940</v>
          </cell>
          <cell r="C450">
            <v>5.444</v>
          </cell>
        </row>
        <row r="451">
          <cell r="A451">
            <v>45943</v>
          </cell>
          <cell r="C451">
            <v>5.4622999999999999</v>
          </cell>
        </row>
        <row r="452">
          <cell r="A452">
            <v>45944</v>
          </cell>
          <cell r="C452">
            <v>5.4976000000000003</v>
          </cell>
        </row>
        <row r="453">
          <cell r="A453">
            <v>45945</v>
          </cell>
          <cell r="C453">
            <v>5.4458000000000002</v>
          </cell>
        </row>
        <row r="454">
          <cell r="A454">
            <v>45946</v>
          </cell>
          <cell r="C454">
            <v>5.4348000000000001</v>
          </cell>
        </row>
        <row r="455">
          <cell r="A455">
            <v>45947</v>
          </cell>
          <cell r="C455">
            <v>5.4383999999999997</v>
          </cell>
        </row>
        <row r="456">
          <cell r="A456">
            <v>45950</v>
          </cell>
          <cell r="C456">
            <v>5.3765000000000001</v>
          </cell>
        </row>
        <row r="457">
          <cell r="A457">
            <v>45951</v>
          </cell>
          <cell r="C457">
            <v>5.3841999999999999</v>
          </cell>
        </row>
        <row r="458">
          <cell r="A458">
            <v>45952</v>
          </cell>
          <cell r="C458">
            <v>5.3891999999999998</v>
          </cell>
        </row>
        <row r="459">
          <cell r="A459">
            <v>45953</v>
          </cell>
          <cell r="C459">
            <v>5.3834</v>
          </cell>
        </row>
        <row r="460">
          <cell r="A460">
            <v>45954</v>
          </cell>
          <cell r="C460">
            <v>5.3791000000000002</v>
          </cell>
        </row>
        <row r="461">
          <cell r="A461">
            <v>45957</v>
          </cell>
          <cell r="C461">
            <v>5.3738000000000001</v>
          </cell>
        </row>
        <row r="462">
          <cell r="A462">
            <v>45958</v>
          </cell>
          <cell r="C462">
            <v>5.3684000000000003</v>
          </cell>
        </row>
        <row r="463">
          <cell r="A463">
            <v>45959</v>
          </cell>
          <cell r="C463">
            <v>5.3410000000000002</v>
          </cell>
        </row>
        <row r="464">
          <cell r="A464">
            <v>45960</v>
          </cell>
          <cell r="C464">
            <v>5.3844000000000003</v>
          </cell>
        </row>
        <row r="465">
          <cell r="A465">
            <v>45961</v>
          </cell>
          <cell r="C465">
            <v>5.3837000000000002</v>
          </cell>
        </row>
        <row r="466">
          <cell r="A466">
            <v>45964</v>
          </cell>
          <cell r="C466">
            <v>5.3498999999999999</v>
          </cell>
        </row>
        <row r="467">
          <cell r="A467">
            <v>45965</v>
          </cell>
          <cell r="C467">
            <v>5.3840000000000003</v>
          </cell>
        </row>
        <row r="468">
          <cell r="A468">
            <v>45966</v>
          </cell>
          <cell r="C468">
            <v>5.3792</v>
          </cell>
        </row>
        <row r="469">
          <cell r="A469">
            <v>45967</v>
          </cell>
          <cell r="C469">
            <v>5.3445</v>
          </cell>
        </row>
        <row r="470">
          <cell r="A470">
            <v>45968</v>
          </cell>
          <cell r="C470">
            <v>5.3560999999999996</v>
          </cell>
        </row>
        <row r="471">
          <cell r="A471">
            <v>45971</v>
          </cell>
          <cell r="C471">
            <v>5.3174999999999999</v>
          </cell>
        </row>
        <row r="472">
          <cell r="A472">
            <v>45972</v>
          </cell>
          <cell r="C472">
            <v>5.2723000000000004</v>
          </cell>
        </row>
        <row r="473">
          <cell r="A473">
            <v>45973</v>
          </cell>
          <cell r="C473">
            <v>5.2878999999999996</v>
          </cell>
        </row>
        <row r="474">
          <cell r="A474">
            <v>45974</v>
          </cell>
          <cell r="C474">
            <v>5.2813999999999997</v>
          </cell>
        </row>
        <row r="475">
          <cell r="A475">
            <v>45975</v>
          </cell>
          <cell r="C475">
            <v>5.2946</v>
          </cell>
        </row>
        <row r="476">
          <cell r="A476">
            <v>45978</v>
          </cell>
          <cell r="C476">
            <v>5.3102</v>
          </cell>
        </row>
        <row r="477">
          <cell r="A477">
            <v>45979</v>
          </cell>
          <cell r="C477">
            <v>5.3354999999999997</v>
          </cell>
        </row>
        <row r="478">
          <cell r="A478">
            <v>45980</v>
          </cell>
          <cell r="C478">
            <v>5.3339999999999996</v>
          </cell>
        </row>
        <row r="479">
          <cell r="A479">
            <v>45982</v>
          </cell>
          <cell r="C479">
            <v>5.3895999999999997</v>
          </cell>
        </row>
        <row r="480">
          <cell r="A480">
            <v>45985</v>
          </cell>
          <cell r="C480">
            <v>5.3941999999999997</v>
          </cell>
        </row>
        <row r="481">
          <cell r="A481">
            <v>45986</v>
          </cell>
          <cell r="C481">
            <v>5.3834999999999997</v>
          </cell>
        </row>
        <row r="482">
          <cell r="A482">
            <v>45987</v>
          </cell>
          <cell r="C482">
            <v>5.3688000000000002</v>
          </cell>
        </row>
        <row r="483">
          <cell r="A483">
            <v>45988</v>
          </cell>
          <cell r="C483">
            <v>5.3483999999999998</v>
          </cell>
        </row>
        <row r="484">
          <cell r="A484">
            <v>45989</v>
          </cell>
          <cell r="C484">
            <v>5.3331999999999997</v>
          </cell>
        </row>
        <row r="485">
          <cell r="A485">
            <v>45989</v>
          </cell>
          <cell r="C485">
            <v>5.3331999999999997</v>
          </cell>
        </row>
        <row r="486">
          <cell r="A486">
            <v>45992</v>
          </cell>
          <cell r="C486">
            <v>5.3463000000000003</v>
          </cell>
        </row>
        <row r="487">
          <cell r="A487">
            <v>45993</v>
          </cell>
          <cell r="C487">
            <v>5.3459000000000003</v>
          </cell>
        </row>
        <row r="488">
          <cell r="A488">
            <v>45994</v>
          </cell>
          <cell r="C488">
            <v>5.3108000000000004</v>
          </cell>
        </row>
        <row r="489">
          <cell r="A489">
            <v>45995</v>
          </cell>
          <cell r="C489">
            <v>5.2946</v>
          </cell>
        </row>
        <row r="490">
          <cell r="A490">
            <v>45996</v>
          </cell>
          <cell r="C490">
            <v>5.3399000000000001</v>
          </cell>
        </row>
        <row r="491">
          <cell r="A491">
            <v>45999</v>
          </cell>
          <cell r="C491">
            <v>5.4242999999999997</v>
          </cell>
        </row>
        <row r="492">
          <cell r="A492">
            <v>46000</v>
          </cell>
          <cell r="C492">
            <v>5.4564000000000004</v>
          </cell>
        </row>
        <row r="493">
          <cell r="A493">
            <v>46001</v>
          </cell>
          <cell r="C493">
            <v>5.4649999999999999</v>
          </cell>
        </row>
        <row r="494">
          <cell r="A494">
            <v>46002</v>
          </cell>
          <cell r="C494">
            <v>5.4230999999999998</v>
          </cell>
        </row>
        <row r="495">
          <cell r="A495">
            <v>46003</v>
          </cell>
          <cell r="C495">
            <v>5.4005000000000001</v>
          </cell>
        </row>
        <row r="496">
          <cell r="A496">
            <v>46006</v>
          </cell>
          <cell r="C496">
            <v>5.3922999999999996</v>
          </cell>
        </row>
        <row r="497">
          <cell r="A497">
            <v>46007</v>
          </cell>
          <cell r="C497">
            <v>5.4499000000000004</v>
          </cell>
        </row>
        <row r="498">
          <cell r="A498">
            <v>46008</v>
          </cell>
          <cell r="C498">
            <v>5.5087000000000002</v>
          </cell>
        </row>
        <row r="499">
          <cell r="A499">
            <v>46009</v>
          </cell>
          <cell r="C499">
            <v>5.5277000000000003</v>
          </cell>
        </row>
        <row r="500">
          <cell r="A500">
            <v>46010</v>
          </cell>
          <cell r="C500">
            <v>5.5153999999999996</v>
          </cell>
        </row>
        <row r="501">
          <cell r="A501">
            <v>46013</v>
          </cell>
          <cell r="C501">
            <v>5.5382999999999996</v>
          </cell>
        </row>
        <row r="502">
          <cell r="A502">
            <v>46014</v>
          </cell>
          <cell r="C502">
            <v>5.5636999999999999</v>
          </cell>
        </row>
        <row r="503">
          <cell r="A503">
            <v>46015</v>
          </cell>
          <cell r="C503">
            <v>5.5342000000000002</v>
          </cell>
        </row>
        <row r="504">
          <cell r="A504">
            <v>46017</v>
          </cell>
          <cell r="C504">
            <v>5.5407000000000002</v>
          </cell>
        </row>
        <row r="505">
          <cell r="A505">
            <v>46020</v>
          </cell>
          <cell r="C505">
            <v>5.5732999999999997</v>
          </cell>
        </row>
        <row r="506">
          <cell r="A506">
            <v>46021</v>
          </cell>
          <cell r="C506">
            <v>5.5018000000000002</v>
          </cell>
        </row>
        <row r="507">
          <cell r="A507">
            <v>46022</v>
          </cell>
          <cell r="C507">
            <v>5.5018000000000002</v>
          </cell>
        </row>
        <row r="508">
          <cell r="A508">
            <v>46024</v>
          </cell>
          <cell r="C508">
            <v>5.4366000000000003</v>
          </cell>
        </row>
        <row r="509">
          <cell r="A509">
            <v>46027</v>
          </cell>
          <cell r="C509">
            <v>5.4344999999999999</v>
          </cell>
        </row>
        <row r="510">
          <cell r="A510">
            <v>46028</v>
          </cell>
          <cell r="C510">
            <v>5.3791000000000002</v>
          </cell>
        </row>
        <row r="511">
          <cell r="A511">
            <v>46029</v>
          </cell>
          <cell r="C511">
            <v>5.3874000000000004</v>
          </cell>
        </row>
        <row r="512">
          <cell r="A512">
            <v>46030</v>
          </cell>
          <cell r="C512">
            <v>5.3853999999999997</v>
          </cell>
        </row>
        <row r="513">
          <cell r="A513">
            <v>46031</v>
          </cell>
          <cell r="C513">
            <v>5.3700999999999999</v>
          </cell>
        </row>
        <row r="514">
          <cell r="A514">
            <v>46034</v>
          </cell>
          <cell r="C514">
            <v>5.3754</v>
          </cell>
        </row>
        <row r="515">
          <cell r="A515">
            <v>46035</v>
          </cell>
          <cell r="C515">
            <v>5.3757999999999999</v>
          </cell>
        </row>
        <row r="516">
          <cell r="A516">
            <v>46036</v>
          </cell>
          <cell r="C516">
            <v>5.3788999999999998</v>
          </cell>
        </row>
        <row r="517">
          <cell r="A517">
            <v>46037</v>
          </cell>
          <cell r="C517">
            <v>5.3840000000000003</v>
          </cell>
        </row>
        <row r="518">
          <cell r="A518">
            <v>46038</v>
          </cell>
          <cell r="C518">
            <v>5.3792</v>
          </cell>
        </row>
        <row r="519">
          <cell r="A519">
            <v>46041</v>
          </cell>
          <cell r="C519">
            <v>5.3647</v>
          </cell>
        </row>
        <row r="520">
          <cell r="A520">
            <v>46042</v>
          </cell>
          <cell r="C520">
            <v>5.3784000000000001</v>
          </cell>
        </row>
        <row r="521">
          <cell r="A521">
            <v>46043</v>
          </cell>
          <cell r="C521">
            <v>5.3361999999999998</v>
          </cell>
        </row>
        <row r="522">
          <cell r="A522">
            <v>46044</v>
          </cell>
          <cell r="C522">
            <v>5.3112000000000004</v>
          </cell>
        </row>
        <row r="523">
          <cell r="A523">
            <v>46045</v>
          </cell>
          <cell r="C523">
            <v>5.2872000000000003</v>
          </cell>
        </row>
        <row r="524">
          <cell r="A524">
            <v>46048</v>
          </cell>
          <cell r="C524">
            <v>5.2754000000000003</v>
          </cell>
        </row>
        <row r="525">
          <cell r="A525">
            <v>46049</v>
          </cell>
          <cell r="C525">
            <v>5.2385999999999999</v>
          </cell>
        </row>
        <row r="526">
          <cell r="A526">
            <v>46050</v>
          </cell>
          <cell r="C526">
            <v>5.1832000000000003</v>
          </cell>
        </row>
        <row r="527">
          <cell r="A527">
            <v>46051</v>
          </cell>
          <cell r="C527">
            <v>5.1950000000000003</v>
          </cell>
        </row>
        <row r="528">
          <cell r="A528">
            <v>46052</v>
          </cell>
          <cell r="C528">
            <v>5.2294999999999998</v>
          </cell>
        </row>
      </sheetData>
      <sheetData sheetId="4"/>
      <sheetData sheetId="5">
        <row r="1">
          <cell r="E1" t="str">
            <v>CALCULADA</v>
          </cell>
        </row>
        <row r="2">
          <cell r="E2" t="str">
            <v>AJUSTE COMISSÃO</v>
          </cell>
        </row>
        <row r="3">
          <cell r="E3">
            <v>-5.0000000000000001E-4</v>
          </cell>
        </row>
        <row r="4">
          <cell r="E4">
            <v>-1E-3</v>
          </cell>
        </row>
        <row r="5">
          <cell r="E5">
            <v>1E-3</v>
          </cell>
        </row>
        <row r="6">
          <cell r="E6">
            <v>2E-3</v>
          </cell>
        </row>
        <row r="7">
          <cell r="E7">
            <v>0</v>
          </cell>
        </row>
        <row r="8">
          <cell r="E8">
            <v>2E-3</v>
          </cell>
        </row>
        <row r="9">
          <cell r="E9">
            <v>-5.0000000000000001E-4</v>
          </cell>
        </row>
        <row r="10">
          <cell r="E10">
            <v>-5.0000000000000001E-4</v>
          </cell>
        </row>
        <row r="11">
          <cell r="E11">
            <v>0</v>
          </cell>
        </row>
        <row r="12">
          <cell r="E12">
            <v>-5.0000000000000001E-4</v>
          </cell>
        </row>
        <row r="13">
          <cell r="E13">
            <v>1.5E-3</v>
          </cell>
        </row>
        <row r="14">
          <cell r="E14">
            <v>2E-3</v>
          </cell>
        </row>
        <row r="15">
          <cell r="E15">
            <v>-5.0000000000000001E-4</v>
          </cell>
        </row>
        <row r="16">
          <cell r="E16">
            <v>5.0000000000000001E-4</v>
          </cell>
        </row>
        <row r="17">
          <cell r="E17">
            <v>2E-3</v>
          </cell>
        </row>
        <row r="18">
          <cell r="E18">
            <v>5.0000000000000001E-4</v>
          </cell>
        </row>
        <row r="19">
          <cell r="E19">
            <v>-5.0000000000000001E-4</v>
          </cell>
        </row>
        <row r="20">
          <cell r="E20">
            <v>5.0000000000000001E-4</v>
          </cell>
        </row>
        <row r="21">
          <cell r="E21">
            <v>5.0000000000000001E-4</v>
          </cell>
        </row>
        <row r="22">
          <cell r="E22">
            <v>5.0000000000000001E-4</v>
          </cell>
        </row>
        <row r="23">
          <cell r="E23">
            <v>-5.0000000000000001E-4</v>
          </cell>
        </row>
        <row r="24">
          <cell r="E24">
            <v>-5.0000000000000001E-4</v>
          </cell>
        </row>
        <row r="25">
          <cell r="E25">
            <v>1E-3</v>
          </cell>
        </row>
        <row r="26">
          <cell r="E26">
            <v>1E-3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-5.0000000000000001E-4</v>
          </cell>
        </row>
        <row r="30">
          <cell r="E30">
            <v>2E-3</v>
          </cell>
        </row>
        <row r="31">
          <cell r="E31">
            <v>0</v>
          </cell>
        </row>
        <row r="32">
          <cell r="E32">
            <v>-4.5000000000000005E-3</v>
          </cell>
        </row>
        <row r="33">
          <cell r="E33">
            <v>1E-3</v>
          </cell>
        </row>
        <row r="34">
          <cell r="E34">
            <v>2E-3</v>
          </cell>
        </row>
        <row r="35">
          <cell r="E35">
            <v>0</v>
          </cell>
        </row>
        <row r="36">
          <cell r="E36">
            <v>1E-3</v>
          </cell>
        </row>
        <row r="37">
          <cell r="E37">
            <v>2E-3</v>
          </cell>
        </row>
        <row r="38">
          <cell r="E38">
            <v>-1E-3</v>
          </cell>
        </row>
        <row r="39">
          <cell r="E39">
            <v>0</v>
          </cell>
        </row>
        <row r="40">
          <cell r="E40">
            <v>2E-3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2E-3</v>
          </cell>
        </row>
        <row r="44">
          <cell r="E44">
            <v>2E-3</v>
          </cell>
        </row>
        <row r="45">
          <cell r="E45">
            <v>-5.0000000000000001E-4</v>
          </cell>
        </row>
        <row r="46">
          <cell r="E46">
            <v>-1E-3</v>
          </cell>
        </row>
        <row r="47">
          <cell r="E47">
            <v>0</v>
          </cell>
        </row>
        <row r="48">
          <cell r="E48">
            <v>1.5E-3</v>
          </cell>
        </row>
        <row r="49">
          <cell r="E49">
            <v>1.5E-3</v>
          </cell>
        </row>
        <row r="50">
          <cell r="E50">
            <v>2E-3</v>
          </cell>
        </row>
        <row r="51">
          <cell r="E51">
            <v>0</v>
          </cell>
        </row>
        <row r="52">
          <cell r="E52">
            <v>5.0000000000000001E-4</v>
          </cell>
        </row>
        <row r="53">
          <cell r="E53">
            <v>-5.0000000000000001E-4</v>
          </cell>
        </row>
        <row r="54">
          <cell r="E54">
            <v>2E-3</v>
          </cell>
        </row>
        <row r="55">
          <cell r="E55">
            <v>2E-3</v>
          </cell>
        </row>
        <row r="56">
          <cell r="E56">
            <v>1E-3</v>
          </cell>
        </row>
        <row r="57">
          <cell r="E57">
            <v>-5.0000000000000001E-4</v>
          </cell>
        </row>
        <row r="58">
          <cell r="E58">
            <v>-5.0000000000000001E-4</v>
          </cell>
        </row>
        <row r="59">
          <cell r="E59">
            <v>5.0000000000000001E-4</v>
          </cell>
        </row>
        <row r="60">
          <cell r="E60">
            <v>-5.0000000000000001E-4</v>
          </cell>
        </row>
        <row r="61">
          <cell r="E61">
            <v>5.0000000000000001E-4</v>
          </cell>
        </row>
        <row r="62">
          <cell r="E62">
            <v>0</v>
          </cell>
        </row>
        <row r="63">
          <cell r="E63">
            <v>5.0000000000000001E-4</v>
          </cell>
        </row>
        <row r="64">
          <cell r="E64">
            <v>-1E-3</v>
          </cell>
        </row>
        <row r="65">
          <cell r="E65">
            <v>-1E-3</v>
          </cell>
        </row>
        <row r="66">
          <cell r="E66">
            <v>-1E-3</v>
          </cell>
        </row>
        <row r="67">
          <cell r="E67">
            <v>-1E-3</v>
          </cell>
        </row>
        <row r="68">
          <cell r="E68">
            <v>-1E-3</v>
          </cell>
        </row>
        <row r="69">
          <cell r="E69">
            <v>2E-3</v>
          </cell>
        </row>
        <row r="70">
          <cell r="E70">
            <v>-5.0000000000000001E-4</v>
          </cell>
        </row>
        <row r="71">
          <cell r="E71">
            <v>-5.0000000000000001E-4</v>
          </cell>
        </row>
        <row r="72">
          <cell r="E72">
            <v>0</v>
          </cell>
        </row>
        <row r="73">
          <cell r="E73">
            <v>0</v>
          </cell>
        </row>
        <row r="74">
          <cell r="E74">
            <v>-1E-3</v>
          </cell>
        </row>
        <row r="75">
          <cell r="E75">
            <v>0</v>
          </cell>
        </row>
        <row r="76">
          <cell r="E76">
            <v>-5.0000000000000001E-4</v>
          </cell>
        </row>
        <row r="77">
          <cell r="E77">
            <v>5.0000000000000001E-4</v>
          </cell>
        </row>
        <row r="78">
          <cell r="E78">
            <v>-4.0000000000000001E-3</v>
          </cell>
        </row>
        <row r="79">
          <cell r="E79">
            <v>5.0000000000000001E-4</v>
          </cell>
        </row>
        <row r="80">
          <cell r="E80">
            <v>5.0000000000000001E-4</v>
          </cell>
        </row>
        <row r="81">
          <cell r="E81">
            <v>0</v>
          </cell>
        </row>
        <row r="82">
          <cell r="E82">
            <v>0</v>
          </cell>
        </row>
        <row r="83">
          <cell r="E83">
            <v>5.0000000000000001E-4</v>
          </cell>
        </row>
        <row r="84">
          <cell r="E84">
            <v>-5.0000000000000001E-4</v>
          </cell>
        </row>
        <row r="85">
          <cell r="E85">
            <v>0</v>
          </cell>
        </row>
        <row r="86">
          <cell r="E86">
            <v>-1E-3</v>
          </cell>
        </row>
        <row r="87">
          <cell r="E87">
            <v>5.0000000000000001E-4</v>
          </cell>
        </row>
        <row r="88">
          <cell r="E88">
            <v>0</v>
          </cell>
        </row>
        <row r="89">
          <cell r="E89">
            <v>2E-3</v>
          </cell>
        </row>
        <row r="90">
          <cell r="E90">
            <v>0</v>
          </cell>
        </row>
        <row r="91">
          <cell r="E91">
            <v>-5.0000000000000001E-4</v>
          </cell>
        </row>
        <row r="92">
          <cell r="E92">
            <v>1.5E-3</v>
          </cell>
        </row>
        <row r="93">
          <cell r="E93">
            <v>-1E-3</v>
          </cell>
        </row>
        <row r="94">
          <cell r="E94">
            <v>0</v>
          </cell>
        </row>
        <row r="95">
          <cell r="E95">
            <v>-4.0000000000000001E-3</v>
          </cell>
        </row>
        <row r="96">
          <cell r="E96">
            <v>-1E-3</v>
          </cell>
        </row>
        <row r="97">
          <cell r="E97">
            <v>-1E-3</v>
          </cell>
        </row>
        <row r="98">
          <cell r="E98">
            <v>-1E-3</v>
          </cell>
        </row>
        <row r="99">
          <cell r="E99">
            <v>-1.5E-3</v>
          </cell>
        </row>
        <row r="100">
          <cell r="E100">
            <v>5.0000000000000001E-4</v>
          </cell>
        </row>
        <row r="101">
          <cell r="E101">
            <v>0</v>
          </cell>
        </row>
        <row r="102">
          <cell r="E102">
            <v>5.0000000000000001E-4</v>
          </cell>
        </row>
        <row r="103">
          <cell r="E103">
            <v>-5.0000000000000001E-4</v>
          </cell>
        </row>
        <row r="104">
          <cell r="E104">
            <v>0</v>
          </cell>
        </row>
        <row r="105">
          <cell r="E105">
            <v>5.0000000000000001E-4</v>
          </cell>
        </row>
        <row r="106">
          <cell r="E106">
            <v>2E-3</v>
          </cell>
        </row>
        <row r="107">
          <cell r="E107">
            <v>-4.5000000000000005E-3</v>
          </cell>
        </row>
        <row r="108">
          <cell r="E108">
            <v>-4.5000000000000005E-3</v>
          </cell>
        </row>
        <row r="109">
          <cell r="E109">
            <v>-4.5000000000000005E-3</v>
          </cell>
        </row>
        <row r="110">
          <cell r="E110">
            <v>-4.5000000000000005E-3</v>
          </cell>
        </row>
        <row r="111">
          <cell r="E111">
            <v>-4.5000000000000005E-3</v>
          </cell>
        </row>
        <row r="112">
          <cell r="E112">
            <v>-4.5000000000000005E-3</v>
          </cell>
        </row>
        <row r="113">
          <cell r="E113">
            <v>-4.5000000000000005E-3</v>
          </cell>
        </row>
        <row r="114">
          <cell r="E114">
            <v>-4.0000000000000001E-3</v>
          </cell>
        </row>
        <row r="115">
          <cell r="E115">
            <v>-5.0000000000000001E-4</v>
          </cell>
        </row>
        <row r="116">
          <cell r="E116">
            <v>-1E-3</v>
          </cell>
        </row>
        <row r="117">
          <cell r="E117">
            <v>-4.5000000000000005E-3</v>
          </cell>
        </row>
        <row r="118">
          <cell r="E118">
            <v>-4.5000000000000005E-3</v>
          </cell>
        </row>
        <row r="119">
          <cell r="E119">
            <v>0</v>
          </cell>
        </row>
        <row r="120">
          <cell r="E120">
            <v>2E-3</v>
          </cell>
        </row>
        <row r="121">
          <cell r="E121">
            <v>1.5E-3</v>
          </cell>
        </row>
        <row r="122">
          <cell r="E122">
            <v>0</v>
          </cell>
        </row>
        <row r="123">
          <cell r="E123">
            <v>-5.0000000000000001E-4</v>
          </cell>
        </row>
        <row r="124">
          <cell r="E124">
            <v>1E-3</v>
          </cell>
        </row>
        <row r="125">
          <cell r="E125">
            <v>-4.5000000000000005E-3</v>
          </cell>
        </row>
        <row r="126">
          <cell r="E126">
            <v>0</v>
          </cell>
        </row>
        <row r="127">
          <cell r="E127">
            <v>1E-3</v>
          </cell>
        </row>
        <row r="128">
          <cell r="E128">
            <v>-5.0000000000000001E-4</v>
          </cell>
        </row>
        <row r="129">
          <cell r="E129">
            <v>-1E-3</v>
          </cell>
        </row>
        <row r="130">
          <cell r="E130">
            <v>1.5E-3</v>
          </cell>
        </row>
        <row r="131">
          <cell r="E131">
            <v>5.0000000000000001E-4</v>
          </cell>
        </row>
        <row r="132">
          <cell r="E132">
            <v>-1E-3</v>
          </cell>
        </row>
        <row r="133">
          <cell r="E133">
            <v>-4.0000000000000001E-3</v>
          </cell>
        </row>
        <row r="134">
          <cell r="E134">
            <v>-4.5000000000000005E-3</v>
          </cell>
        </row>
        <row r="135">
          <cell r="E135">
            <v>0</v>
          </cell>
        </row>
        <row r="136">
          <cell r="E136">
            <v>0</v>
          </cell>
        </row>
        <row r="137">
          <cell r="E137">
            <v>-1E-3</v>
          </cell>
        </row>
        <row r="138">
          <cell r="E138">
            <v>1.5E-3</v>
          </cell>
        </row>
        <row r="139">
          <cell r="E139">
            <v>-1.5E-3</v>
          </cell>
        </row>
        <row r="140">
          <cell r="E140">
            <v>-1E-3</v>
          </cell>
        </row>
        <row r="141">
          <cell r="E141">
            <v>-1E-3</v>
          </cell>
        </row>
        <row r="142">
          <cell r="E142">
            <v>0</v>
          </cell>
        </row>
        <row r="143">
          <cell r="E143">
            <v>2E-3</v>
          </cell>
        </row>
        <row r="144">
          <cell r="E144">
            <v>-4.0000000000000001E-3</v>
          </cell>
        </row>
        <row r="145">
          <cell r="E145">
            <v>0</v>
          </cell>
        </row>
        <row r="146">
          <cell r="E146">
            <v>-1E-3</v>
          </cell>
        </row>
        <row r="147">
          <cell r="E147">
            <v>-1E-3</v>
          </cell>
        </row>
        <row r="148">
          <cell r="E148">
            <v>-1E-3</v>
          </cell>
        </row>
        <row r="149">
          <cell r="E149">
            <v>2E-3</v>
          </cell>
        </row>
        <row r="150">
          <cell r="E150">
            <v>-1.5E-3</v>
          </cell>
        </row>
        <row r="151">
          <cell r="E151">
            <v>0</v>
          </cell>
        </row>
        <row r="152">
          <cell r="E152">
            <v>0</v>
          </cell>
        </row>
        <row r="153">
          <cell r="E153">
            <v>-4.0000000000000001E-3</v>
          </cell>
        </row>
        <row r="154">
          <cell r="E154">
            <v>5.0000000000000001E-4</v>
          </cell>
        </row>
        <row r="155">
          <cell r="E155">
            <v>-1.5E-3</v>
          </cell>
        </row>
        <row r="156">
          <cell r="E156">
            <v>-1E-3</v>
          </cell>
        </row>
        <row r="157">
          <cell r="E157">
            <v>-5.0000000000000001E-4</v>
          </cell>
        </row>
        <row r="158">
          <cell r="E158">
            <v>-1E-3</v>
          </cell>
        </row>
        <row r="159">
          <cell r="E159">
            <v>-4.5000000000000005E-3</v>
          </cell>
        </row>
        <row r="160">
          <cell r="E160">
            <v>0</v>
          </cell>
        </row>
        <row r="161">
          <cell r="E161">
            <v>-1E-3</v>
          </cell>
        </row>
        <row r="162">
          <cell r="E162">
            <v>-1E-3</v>
          </cell>
        </row>
        <row r="163">
          <cell r="E163">
            <v>-5.0000000000000001E-4</v>
          </cell>
        </row>
        <row r="164">
          <cell r="E164">
            <v>-1E-3</v>
          </cell>
        </row>
        <row r="165">
          <cell r="E165">
            <v>-1E-3</v>
          </cell>
        </row>
        <row r="166">
          <cell r="E166">
            <v>-1E-3</v>
          </cell>
        </row>
        <row r="167">
          <cell r="E167">
            <v>-1E-3</v>
          </cell>
        </row>
        <row r="168">
          <cell r="E168">
            <v>-1E-3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 LIST"/>
      <sheetName val="OCULTAS"/>
      <sheetName val="TABELA DE PREÇO MPR "/>
      <sheetName val="TABELA DE PREÇO BIOSSODIUM "/>
      <sheetName val="CUSTO DE FRACIONAMENTO"/>
      <sheetName val="MARGENS "/>
      <sheetName val="COFATOR FRACIONAMENTO"/>
    </sheetNames>
    <sheetDataSet>
      <sheetData sheetId="0">
        <row r="1">
          <cell r="G1"/>
          <cell r="Q1"/>
        </row>
        <row r="2">
          <cell r="G2"/>
          <cell r="Q2"/>
        </row>
        <row r="3">
          <cell r="G3"/>
          <cell r="Q3"/>
        </row>
        <row r="4">
          <cell r="G4"/>
          <cell r="Q4"/>
        </row>
        <row r="5">
          <cell r="G5"/>
          <cell r="Q5"/>
        </row>
        <row r="6">
          <cell r="G6"/>
          <cell r="Q6"/>
        </row>
        <row r="7">
          <cell r="G7" t="str">
            <v>CONCAT</v>
          </cell>
          <cell r="Q7" t="str">
            <v xml:space="preserve">NET USD/ </v>
          </cell>
        </row>
        <row r="8">
          <cell r="G8" t="str">
            <v>OLI OLI-21890,1</v>
          </cell>
          <cell r="Q8">
            <v>7097.1</v>
          </cell>
        </row>
        <row r="9">
          <cell r="G9" t="str">
            <v>OLI OLP-630010</v>
          </cell>
          <cell r="Q9">
            <v>218.52</v>
          </cell>
        </row>
        <row r="10">
          <cell r="G10" t="str">
            <v>CODIF3M3 LIGHTERIS G1</v>
          </cell>
          <cell r="Q10">
            <v>135.33272588</v>
          </cell>
        </row>
        <row r="11">
          <cell r="G11" t="str">
            <v>CODIF3M3 LIGHTERIS G5</v>
          </cell>
          <cell r="Q11">
            <v>114.64588040000001</v>
          </cell>
        </row>
        <row r="12">
          <cell r="G12" t="str">
            <v>BIOLANDAA POWDER1</v>
          </cell>
          <cell r="Q12">
            <v>1677.6367049999999</v>
          </cell>
        </row>
        <row r="13">
          <cell r="G13" t="str">
            <v>IC BIOABP-EASY1</v>
          </cell>
          <cell r="Q13">
            <v>294.55322000000001</v>
          </cell>
        </row>
        <row r="14">
          <cell r="G14" t="str">
            <v>IC BIOABP-EASY5</v>
          </cell>
          <cell r="Q14">
            <v>226.57939999999999</v>
          </cell>
        </row>
        <row r="15">
          <cell r="G15" t="str">
            <v>CODIFACTIBIOME GPA1</v>
          </cell>
          <cell r="Q15">
            <v>287.42339293399993</v>
          </cell>
        </row>
        <row r="16">
          <cell r="G16" t="str">
            <v>CODIFACTIBIOME GPA5</v>
          </cell>
          <cell r="Q16">
            <v>216.71109772</v>
          </cell>
        </row>
        <row r="17">
          <cell r="G17" t="str">
            <v>CODIFACTIBIOME GPA30</v>
          </cell>
          <cell r="Q17">
            <v>188.44443280000002</v>
          </cell>
        </row>
        <row r="18">
          <cell r="G18" t="str">
            <v>CODIFACTIBIOME GPENT5</v>
          </cell>
          <cell r="Q18">
            <v>232.97763639999999</v>
          </cell>
        </row>
        <row r="19">
          <cell r="G19" t="str">
            <v>CODIFACTIBIOME PE1</v>
          </cell>
          <cell r="Q19">
            <v>333.15142764000007</v>
          </cell>
        </row>
        <row r="20">
          <cell r="G20" t="str">
            <v>CODIFACTIBIOME PE5</v>
          </cell>
          <cell r="Q20">
            <v>281.91005239999998</v>
          </cell>
        </row>
        <row r="21">
          <cell r="G21" t="str">
            <v>CODIFACTIPORINE 8G1</v>
          </cell>
          <cell r="Q21">
            <v>324.19656025999996</v>
          </cell>
        </row>
        <row r="22">
          <cell r="G22" t="str">
            <v>CODIFACTIPORINE 8G5</v>
          </cell>
          <cell r="Q22">
            <v>212.86359039999999</v>
          </cell>
        </row>
        <row r="23">
          <cell r="G23" t="str">
            <v>ACTERAADAPINOID1</v>
          </cell>
          <cell r="Q23">
            <v>8605.2407700927779</v>
          </cell>
        </row>
        <row r="24">
          <cell r="G24" t="str">
            <v>ACTERAADAPINOID5</v>
          </cell>
          <cell r="Q24">
            <v>7755.5977286291009</v>
          </cell>
        </row>
        <row r="25">
          <cell r="G25" t="str">
            <v>CODIFALGOBRIGHT1</v>
          </cell>
          <cell r="Q25">
            <v>367.69936009999992</v>
          </cell>
        </row>
        <row r="26">
          <cell r="G26" t="str">
            <v>CODIFALGOBRIGHT5</v>
          </cell>
          <cell r="Q26">
            <v>312.445762</v>
          </cell>
        </row>
        <row r="27">
          <cell r="G27" t="str">
            <v>CODIFALGOBRIGHT G5</v>
          </cell>
          <cell r="Q27">
            <v>214.0869008</v>
          </cell>
        </row>
        <row r="28">
          <cell r="G28" t="str">
            <v>BIOLANDALOE EXTRACT5</v>
          </cell>
          <cell r="Q28">
            <v>124.00118499999999</v>
          </cell>
        </row>
        <row r="29">
          <cell r="G29" t="str">
            <v>NORMACTIVEALOE VERA JUICE 99%25</v>
          </cell>
          <cell r="Q29">
            <v>163.43103636363637</v>
          </cell>
        </row>
        <row r="30">
          <cell r="G30" t="str">
            <v>NORMACTIVEALOE VERA JUICE 99%100</v>
          </cell>
          <cell r="Q30">
            <v>113.46854545454545</v>
          </cell>
        </row>
        <row r="31">
          <cell r="G31" t="str">
            <v>NORMACTIVEALOE VERA LEAF (JUICE) EXTRACT5</v>
          </cell>
          <cell r="Q31">
            <v>233.15885272727272</v>
          </cell>
        </row>
        <row r="32">
          <cell r="G32" t="str">
            <v>NORMACTIVEALOE VERA LEAF (JUICE) EXTRACT25</v>
          </cell>
          <cell r="Q32">
            <v>152.81641818181816</v>
          </cell>
        </row>
        <row r="33">
          <cell r="G33" t="str">
            <v>NORMACTIVEALOE VERA LEAF (JUICE) EXTRACT100</v>
          </cell>
          <cell r="Q33">
            <v>105.30345454545453</v>
          </cell>
        </row>
        <row r="34">
          <cell r="G34" t="str">
            <v>SPEC CHEMALPHA ARBUTIN1</v>
          </cell>
          <cell r="Q34">
            <v>592.63625000000002</v>
          </cell>
        </row>
        <row r="35">
          <cell r="G35" t="str">
            <v>SPEC CHEMALPHA ARBUTIN25</v>
          </cell>
          <cell r="Q35">
            <v>442.28199999999998</v>
          </cell>
        </row>
        <row r="36">
          <cell r="G36" t="str">
            <v>BIOLANDAMINO ACID COMPLEX (B)1</v>
          </cell>
          <cell r="Q36">
            <v>198.37084149999998</v>
          </cell>
        </row>
        <row r="37">
          <cell r="G37" t="str">
            <v>BIOLANDAMINO ACID COMPLEX (B)5</v>
          </cell>
          <cell r="Q37">
            <v>152.59295499999999</v>
          </cell>
        </row>
        <row r="38">
          <cell r="G38" t="str">
            <v>BIOLANDAMINO ACID COMPLEX (HD)1</v>
          </cell>
          <cell r="Q38">
            <v>325.11663145</v>
          </cell>
        </row>
        <row r="39">
          <cell r="G39" t="str">
            <v>BIOLANDAMINO ACID COMPLEX (HD)5</v>
          </cell>
          <cell r="Q39">
            <v>250.08971649999998</v>
          </cell>
        </row>
        <row r="40">
          <cell r="G40" t="str">
            <v>BIOLANDAMINO ACID COMPLEX (HD)20</v>
          </cell>
          <cell r="Q40">
            <v>192.37670499999999</v>
          </cell>
        </row>
        <row r="41">
          <cell r="G41" t="str">
            <v>DERMALABAMLA EXTRACT(G)5</v>
          </cell>
          <cell r="Q41">
            <v>138.61007555555557</v>
          </cell>
        </row>
        <row r="42">
          <cell r="G42" t="str">
            <v>COACHCHEMANALLERG VITAMIKA – 100,5</v>
          </cell>
          <cell r="Q42">
            <v>2632.454545454545</v>
          </cell>
        </row>
        <row r="43">
          <cell r="G43" t="str">
            <v>COACHCHEMANALLERG VITAMIKA – 101</v>
          </cell>
          <cell r="Q43">
            <v>2289.090909090909</v>
          </cell>
        </row>
        <row r="44">
          <cell r="G44" t="str">
            <v>COACHCHEMANALLERG® RETINAL1</v>
          </cell>
          <cell r="Q44">
            <v>7396.3633333333346</v>
          </cell>
        </row>
        <row r="45">
          <cell r="G45" t="str">
            <v>COACHCHEMANALLERG® RETINAL5</v>
          </cell>
          <cell r="Q45">
            <v>6205.0166666666673</v>
          </cell>
        </row>
        <row r="46">
          <cell r="G46" t="str">
            <v>COACHCHEMANALLERG®-NAD1</v>
          </cell>
          <cell r="Q46">
            <v>1591.8545454545451</v>
          </cell>
        </row>
        <row r="47">
          <cell r="G47" t="str">
            <v>COACHCHEMANALLERG®-NAD5</v>
          </cell>
          <cell r="Q47">
            <v>738.63636363636363</v>
          </cell>
        </row>
        <row r="48">
          <cell r="G48" t="str">
            <v>COACHCHEMANALLERG®-NAD25</v>
          </cell>
          <cell r="Q48">
            <v>481.81818181818176</v>
          </cell>
        </row>
        <row r="49">
          <cell r="G49" t="str">
            <v>DERMALABANTI-OBIZEN (GHD)5</v>
          </cell>
          <cell r="Q49">
            <v>159.29659555555557</v>
          </cell>
        </row>
        <row r="50">
          <cell r="G50" t="str">
            <v>DERMALABANTI-PORE S5</v>
          </cell>
          <cell r="Q50">
            <v>150.45507555555557</v>
          </cell>
        </row>
        <row r="51">
          <cell r="G51" t="str">
            <v>BIOLANDAPRICOT EXTRACT20</v>
          </cell>
          <cell r="Q51">
            <v>147.55367999999999</v>
          </cell>
        </row>
        <row r="52">
          <cell r="G52" t="str">
            <v>NORMACTIVEAPRICOT SEED POWDER25</v>
          </cell>
          <cell r="Q52">
            <v>115.50981818181818</v>
          </cell>
        </row>
        <row r="53">
          <cell r="G53" t="str">
            <v>BIOLANDAQUAGG5</v>
          </cell>
          <cell r="Q53">
            <v>802.39420500000006</v>
          </cell>
        </row>
        <row r="54">
          <cell r="G54" t="str">
            <v>IC BIOAQUATICS20</v>
          </cell>
          <cell r="Q54">
            <v>238.49649999999997</v>
          </cell>
        </row>
        <row r="55">
          <cell r="G55" t="str">
            <v>BIOLANDARBUTIN5</v>
          </cell>
          <cell r="Q55">
            <v>616.73670499999992</v>
          </cell>
        </row>
        <row r="56">
          <cell r="G56" t="str">
            <v>BIOLANDARCTIUM SEED EXTRACT1</v>
          </cell>
          <cell r="Q56">
            <v>7628.5463366666672</v>
          </cell>
        </row>
        <row r="57">
          <cell r="G57" t="str">
            <v>CODIFAREAUMAT CISTACEA GLYCERINE5</v>
          </cell>
          <cell r="Q57">
            <v>147.69878640000002</v>
          </cell>
        </row>
        <row r="58">
          <cell r="G58" t="str">
            <v>CODIFAREAUMAT LAVANDA GLYCERINE5</v>
          </cell>
          <cell r="Q58">
            <v>145.67561920000003</v>
          </cell>
        </row>
        <row r="59">
          <cell r="G59" t="str">
            <v>CODIFAREAUMAT PERPETUA G5</v>
          </cell>
          <cell r="Q59">
            <v>161.67275519999998</v>
          </cell>
        </row>
        <row r="60">
          <cell r="G60" t="str">
            <v>CODIFAREAUMAT PERPETUA PWS5</v>
          </cell>
          <cell r="Q60">
            <v>225.66129919999997</v>
          </cell>
        </row>
        <row r="61">
          <cell r="G61" t="str">
            <v>BIOLANDARECA CATECHU EXTRACT VER.35</v>
          </cell>
          <cell r="Q61">
            <v>319.23150500000003</v>
          </cell>
        </row>
        <row r="62">
          <cell r="G62" t="str">
            <v>CODIFAROLEAT SAMPHIRA1</v>
          </cell>
          <cell r="Q62">
            <v>1384.6314143199997</v>
          </cell>
        </row>
        <row r="63">
          <cell r="G63" t="str">
            <v>CODIFAROLEAT SAMPHIRA5</v>
          </cell>
          <cell r="Q63">
            <v>1097.5757868000001</v>
          </cell>
        </row>
        <row r="64">
          <cell r="G64" t="str">
            <v>SPEC CHEMASCORBIC ACID5</v>
          </cell>
          <cell r="Q64">
            <v>24.44</v>
          </cell>
        </row>
        <row r="65">
          <cell r="G65" t="str">
            <v>SPEC CHEMASCORBIC ACID25</v>
          </cell>
          <cell r="Q65">
            <v>18.8</v>
          </cell>
        </row>
        <row r="66">
          <cell r="G66" t="str">
            <v>SPEC CHEMASCORBYL GLUCOSIDE1</v>
          </cell>
          <cell r="Q66">
            <v>557.22499999999991</v>
          </cell>
        </row>
        <row r="67">
          <cell r="G67" t="str">
            <v>SPEC CHEMASCORBYL GLUCOSIDE25</v>
          </cell>
          <cell r="Q67">
            <v>415.1</v>
          </cell>
        </row>
        <row r="68">
          <cell r="G68" t="str">
            <v>SPEC CHEMASCORBYL PALMITATE1</v>
          </cell>
          <cell r="Q68">
            <v>316.60000000000002</v>
          </cell>
        </row>
        <row r="69">
          <cell r="G69" t="str">
            <v>SPEC CHEMASCORBYL PALMITATE25</v>
          </cell>
          <cell r="Q69">
            <v>80.38</v>
          </cell>
        </row>
        <row r="70">
          <cell r="G70" t="str">
            <v>CHEMAXCELASCORBYL TETRAISOPALMITATE1</v>
          </cell>
          <cell r="Q70">
            <v>789.875</v>
          </cell>
        </row>
        <row r="71">
          <cell r="G71" t="str">
            <v>CHEMAXCELASCORBYL TETRAISOPALMITATE25</v>
          </cell>
          <cell r="Q71">
            <v>631.9</v>
          </cell>
        </row>
        <row r="72">
          <cell r="G72" t="str">
            <v>DERMALABASHWAGHANDA EXTRACT-DL5</v>
          </cell>
          <cell r="Q72">
            <v>224.92105422222224</v>
          </cell>
        </row>
        <row r="73">
          <cell r="G73" t="str">
            <v>DERMALABASHWAGHANDA EXTRACT-DL20</v>
          </cell>
          <cell r="Q73">
            <v>179.85127555555559</v>
          </cell>
        </row>
        <row r="74">
          <cell r="G74" t="str">
            <v>SPEC CHEMASTAXANTHIN POWDER1</v>
          </cell>
          <cell r="Q74">
            <v>1238.9982789509606</v>
          </cell>
        </row>
        <row r="75">
          <cell r="G75" t="str">
            <v>BIOLANDASTRIN-AG5</v>
          </cell>
          <cell r="Q75">
            <v>205.725505</v>
          </cell>
        </row>
        <row r="76">
          <cell r="G76" t="str">
            <v>CODIFATOLIGOMER SF20</v>
          </cell>
          <cell r="Q76">
            <v>61.196626000000002</v>
          </cell>
        </row>
        <row r="77">
          <cell r="G77" t="str">
            <v>SPEC CHEMAZELAIC ACID1</v>
          </cell>
          <cell r="Q77">
            <v>316.60000000000002</v>
          </cell>
        </row>
        <row r="78">
          <cell r="G78" t="str">
            <v>SPEC CHEMAZELAIC ACID25</v>
          </cell>
          <cell r="Q78">
            <v>253.28</v>
          </cell>
        </row>
        <row r="79">
          <cell r="G79" t="str">
            <v>UNIPOWDERSB-050 CER（609334)25</v>
          </cell>
          <cell r="Q79">
            <v>87.471656160694621</v>
          </cell>
        </row>
        <row r="80">
          <cell r="G80" t="str">
            <v>DERMALABBACOPA MONNIERI EXTRACT(HD)5</v>
          </cell>
          <cell r="Q80">
            <v>135.43767555555556</v>
          </cell>
        </row>
        <row r="81">
          <cell r="G81" t="str">
            <v>CHEMAXCELBAKUCHIOL0,1</v>
          </cell>
          <cell r="Q81">
            <v>2665.5899999999997</v>
          </cell>
        </row>
        <row r="82">
          <cell r="G82" t="str">
            <v>CHEMAXCELBAKUCHIOL1</v>
          </cell>
          <cell r="Q82">
            <v>2221.3249999999998</v>
          </cell>
        </row>
        <row r="83">
          <cell r="G83" t="str">
            <v>BIOLANDBEE STINGER SECRETION FILTRATE5</v>
          </cell>
          <cell r="Q83">
            <v>298.46670499999999</v>
          </cell>
        </row>
        <row r="84">
          <cell r="G84" t="str">
            <v>DERMALABBIO CAROB DEAGE  5</v>
          </cell>
          <cell r="Q84">
            <v>139.47939555555556</v>
          </cell>
        </row>
        <row r="85">
          <cell r="G85" t="str">
            <v>BIOLANDBIO CTP-5001</v>
          </cell>
          <cell r="Q85">
            <v>369.93965644999997</v>
          </cell>
        </row>
        <row r="86">
          <cell r="G86" t="str">
            <v>BIOLANDBIO CTP-5005</v>
          </cell>
          <cell r="Q86">
            <v>284.56896649999999</v>
          </cell>
        </row>
        <row r="87">
          <cell r="G87" t="str">
            <v>BIOLANDBIO CTP-50020</v>
          </cell>
          <cell r="Q87">
            <v>218.89920499999997</v>
          </cell>
        </row>
        <row r="88">
          <cell r="G88" t="str">
            <v>DERMALABBIO GREEN PHYTOPLACENTA5</v>
          </cell>
          <cell r="Q88">
            <v>262.9557955555556</v>
          </cell>
        </row>
        <row r="89">
          <cell r="G89" t="str">
            <v>DERMALABBIO HONEY ACIDS5</v>
          </cell>
          <cell r="Q89">
            <v>133.04395555555558</v>
          </cell>
        </row>
        <row r="90">
          <cell r="G90" t="str">
            <v>BIOLANDBIO-BLACK PEARL POWDER1</v>
          </cell>
          <cell r="Q90">
            <v>683.64550500000018</v>
          </cell>
        </row>
        <row r="91">
          <cell r="G91" t="str">
            <v>BIOLANDBIO-FRGE PLUS1</v>
          </cell>
          <cell r="Q91">
            <v>446.92575500000004</v>
          </cell>
        </row>
        <row r="92">
          <cell r="G92" t="str">
            <v>DERMALABBIOMIMETIC FLUID TEARS+5</v>
          </cell>
          <cell r="Q92">
            <v>142.41695555555557</v>
          </cell>
        </row>
        <row r="93">
          <cell r="G93" t="str">
            <v>NORMACTIVEBIOMIRA 112™5</v>
          </cell>
          <cell r="Q93">
            <v>678.63636363636351</v>
          </cell>
        </row>
        <row r="94">
          <cell r="G94" t="str">
            <v>NORMACTIVEBIOMIRA 112™25</v>
          </cell>
          <cell r="Q94">
            <v>476.7954545454545</v>
          </cell>
        </row>
        <row r="95">
          <cell r="G95" t="str">
            <v>NORMACTIVEBIOMIRA 112™100</v>
          </cell>
          <cell r="Q95">
            <v>368.21818181818179</v>
          </cell>
        </row>
        <row r="96">
          <cell r="G96" t="str">
            <v>BIOLANDBIO-OSLP0,005</v>
          </cell>
          <cell r="Q96">
            <v>11886.546183000002</v>
          </cell>
        </row>
        <row r="97">
          <cell r="G97" t="str">
            <v>BIOLANDBIO-OSLP1</v>
          </cell>
          <cell r="Q97">
            <v>0</v>
          </cell>
        </row>
        <row r="98">
          <cell r="G98" t="str">
            <v>FOCUSBIO-SODIUM HYALURONATE 1% SOLUTION0,9</v>
          </cell>
          <cell r="Q98">
            <v>11.101999999999999</v>
          </cell>
        </row>
        <row r="99">
          <cell r="G99" t="str">
            <v>FOCUSBIO-SODIUM HYALURONATE 1% SOLUTION9</v>
          </cell>
          <cell r="Q99">
            <v>8.5399999999999991</v>
          </cell>
        </row>
        <row r="100">
          <cell r="G100" t="str">
            <v>BIOLANDBIO-SODIUM HYALURONATE 1% SOLUTION (C TYPE)10</v>
          </cell>
          <cell r="Q100">
            <v>126.07045500000001</v>
          </cell>
        </row>
        <row r="101">
          <cell r="G101" t="str">
            <v>BIOLANDBIO-SODIUM HYALURONATE POWDER (HMW)1</v>
          </cell>
          <cell r="Q101">
            <v>3003.7617049999999</v>
          </cell>
        </row>
        <row r="102">
          <cell r="G102" t="str">
            <v>FOCUSBIO-SODIUM HYALURONATE POWDER (HMW)1</v>
          </cell>
          <cell r="Q102">
            <v>1929.5136</v>
          </cell>
        </row>
        <row r="103">
          <cell r="G103" t="str">
            <v>FOCUSBIO-SODIUM HYALURONATE POWDER (HMW)5</v>
          </cell>
          <cell r="Q103">
            <v>915.69999999999993</v>
          </cell>
        </row>
        <row r="104">
          <cell r="G104" t="str">
            <v>FOCUSBIO-SODIUM HYALURONATE POWDER (HMW)25</v>
          </cell>
          <cell r="Q104">
            <v>558.84</v>
          </cell>
        </row>
        <row r="105">
          <cell r="G105" t="str">
            <v>BIOLANDBIO-SODIUM HYALURONATE POWDER (LMW)1</v>
          </cell>
          <cell r="Q105">
            <v>2605.9242049999998</v>
          </cell>
        </row>
        <row r="106">
          <cell r="G106" t="str">
            <v>FOCUSBIO-SODIUM HYALURONATE POWDER (LMW)1</v>
          </cell>
          <cell r="Q106">
            <v>1685.9232</v>
          </cell>
        </row>
        <row r="107">
          <cell r="G107" t="str">
            <v>FOCUSBIO-SODIUM HYALURONATE POWDER (LMW)5</v>
          </cell>
          <cell r="Q107">
            <v>705.6</v>
          </cell>
        </row>
        <row r="108">
          <cell r="G108" t="str">
            <v>FOCUSBIO-SODIUM HYALURONATE POWDER (LMW)25</v>
          </cell>
          <cell r="Q108">
            <v>390.78</v>
          </cell>
        </row>
        <row r="109">
          <cell r="G109" t="str">
            <v>BIOLANDBIO-SODIUM HYALURONATE POWDER (MMW)1</v>
          </cell>
          <cell r="Q109">
            <v>2605.9242049999998</v>
          </cell>
        </row>
        <row r="110">
          <cell r="G110" t="str">
            <v>FOCUSBIO-SODIUM HYALURONATE POWDER (MMW)1</v>
          </cell>
          <cell r="Q110">
            <v>1687.4495999999999</v>
          </cell>
        </row>
        <row r="111">
          <cell r="G111" t="str">
            <v>FOCUSBIO-SODIUM HYALURONATE POWDER (MMW)5</v>
          </cell>
          <cell r="Q111">
            <v>705.6</v>
          </cell>
        </row>
        <row r="112">
          <cell r="G112" t="str">
            <v>FOCUSBIO-SODIUM HYALURONATE POWDER (MMW)25</v>
          </cell>
          <cell r="Q112">
            <v>390.78</v>
          </cell>
        </row>
        <row r="113">
          <cell r="G113" t="str">
            <v>BIOLANDBIO-SODIUM HYALURONATE POWDER (VLMW)1</v>
          </cell>
          <cell r="Q113">
            <v>3215.9417050000002</v>
          </cell>
        </row>
        <row r="114">
          <cell r="G114" t="str">
            <v>FOCUSBIO-SODIUM HYALURONATE POWDER (VLMW)1</v>
          </cell>
          <cell r="Q114">
            <v>1935.2736</v>
          </cell>
        </row>
        <row r="115">
          <cell r="G115" t="str">
            <v>FOCUSBIO-SODIUM HYALURONATE POWDER (VLMW)5</v>
          </cell>
          <cell r="Q115">
            <v>920.69999999999993</v>
          </cell>
        </row>
        <row r="116">
          <cell r="G116" t="str">
            <v>FOCUSBIO-SODIUM HYALURONATE POWDER (VLMW)25</v>
          </cell>
          <cell r="Q116">
            <v>562.84</v>
          </cell>
        </row>
        <row r="117">
          <cell r="G117" t="str">
            <v>MICRO POWDERSBIOSOFT 9151</v>
          </cell>
          <cell r="Q117">
            <v>85.569145200000008</v>
          </cell>
        </row>
        <row r="118">
          <cell r="G118" t="str">
            <v>MICRO POWDERSBIOSOFT 9155</v>
          </cell>
          <cell r="Q118">
            <v>77.790132</v>
          </cell>
        </row>
        <row r="119">
          <cell r="G119" t="str">
            <v>MICRO POWDERSBIOSOFT 91525</v>
          </cell>
          <cell r="Q119">
            <v>73.21090181818181</v>
          </cell>
        </row>
        <row r="120">
          <cell r="G120" t="str">
            <v>BIOLANDBIO-SWF5</v>
          </cell>
          <cell r="Q120">
            <v>298.46670499999999</v>
          </cell>
        </row>
        <row r="121">
          <cell r="G121" t="str">
            <v>NORMACTIVEBIOVITRIENT 1245</v>
          </cell>
          <cell r="Q121">
            <v>539.77272727272725</v>
          </cell>
        </row>
        <row r="122">
          <cell r="G122" t="str">
            <v>NORMACTIVEBIOVITRIENT 12425</v>
          </cell>
          <cell r="Q122">
            <v>376.11363636363637</v>
          </cell>
        </row>
        <row r="123">
          <cell r="G123" t="str">
            <v>NORMACTIVEBIOVITRIENT 124100</v>
          </cell>
          <cell r="Q123">
            <v>288.5272727272727</v>
          </cell>
        </row>
        <row r="124">
          <cell r="G124" t="str">
            <v>NORMACTIVEBIOVITRIENT 124™ UD- HAIR MULTI-NOURISHMENT5</v>
          </cell>
          <cell r="Q124">
            <v>539.77272727272725</v>
          </cell>
        </row>
        <row r="125">
          <cell r="G125" t="str">
            <v>NORMACTIVEBIOVITRIENT 124™ UD- HAIR MULTI-NOURISHMENT25</v>
          </cell>
          <cell r="Q125">
            <v>376.11363636363637</v>
          </cell>
        </row>
        <row r="126">
          <cell r="G126" t="str">
            <v>NORMACTIVEBIOVITRIENT 124™ UD- HAIR MULTI-NOURISHMENT100</v>
          </cell>
          <cell r="Q126">
            <v>288.5272727272727</v>
          </cell>
        </row>
        <row r="127">
          <cell r="G127" t="str">
            <v>NORMACTIVEBIOVOLUME 1285</v>
          </cell>
          <cell r="Q127">
            <v>539.77272727272725</v>
          </cell>
        </row>
        <row r="128">
          <cell r="G128" t="str">
            <v>NORMACTIVEBIOVOLUME 12825</v>
          </cell>
          <cell r="Q128">
            <v>369.93181818181819</v>
          </cell>
        </row>
        <row r="129">
          <cell r="G129" t="str">
            <v>NORMACTIVEBIOVOLUME 128100</v>
          </cell>
          <cell r="Q129">
            <v>286.0363636363636</v>
          </cell>
        </row>
        <row r="130">
          <cell r="G130" t="str">
            <v>MICRO POWDERSBIOWHITE 20PC25</v>
          </cell>
          <cell r="Q130">
            <v>109.321522</v>
          </cell>
        </row>
        <row r="131">
          <cell r="G131" t="str">
            <v>MICRO POWDERSBIOWHITE 20PC70</v>
          </cell>
          <cell r="Q131">
            <v>96.890601818181821</v>
          </cell>
        </row>
        <row r="132">
          <cell r="G132" t="str">
            <v>MICRO POWDERSBIOWHITE 50PC25</v>
          </cell>
          <cell r="Q132">
            <v>121.11152000000001</v>
          </cell>
        </row>
        <row r="133">
          <cell r="G133" t="str">
            <v>MICRO POWDERSBIOWHITE 50PC70</v>
          </cell>
          <cell r="Q133">
            <v>107.60878181818181</v>
          </cell>
        </row>
        <row r="134">
          <cell r="G134" t="str">
            <v>DERMALABBLACK BEAN EXTRACT(HD)5</v>
          </cell>
          <cell r="Q134">
            <v>112.04019555555556</v>
          </cell>
        </row>
        <row r="135">
          <cell r="G135" t="str">
            <v>DERMALABBLORICA(GHD)5</v>
          </cell>
          <cell r="Q135">
            <v>163.03755555555554</v>
          </cell>
        </row>
        <row r="136">
          <cell r="G136" t="str">
            <v>HOCK CHEMIEBN 111</v>
          </cell>
          <cell r="Q136">
            <v>148.88888888888891</v>
          </cell>
        </row>
        <row r="137">
          <cell r="G137" t="str">
            <v>UNIPOWDERSBP-50LL Plus(609856)25</v>
          </cell>
          <cell r="Q137">
            <v>81.734087978876417</v>
          </cell>
        </row>
        <row r="138">
          <cell r="G138" t="str">
            <v>UNIPOWDERSBP－50PF(609513)25</v>
          </cell>
          <cell r="Q138">
            <v>160.22402070614916</v>
          </cell>
        </row>
        <row r="139">
          <cell r="G139" t="str">
            <v>UNIPOWDERSBP-50SG（609903S）25</v>
          </cell>
          <cell r="Q139">
            <v>81.045579797058238</v>
          </cell>
        </row>
        <row r="140">
          <cell r="G140" t="str">
            <v>UNIPOWDERSBP-50TMS(609319)25</v>
          </cell>
          <cell r="Q140">
            <v>94.815743433421872</v>
          </cell>
        </row>
        <row r="141">
          <cell r="G141" t="str">
            <v>CODIFB-SHAPE G1</v>
          </cell>
          <cell r="Q141">
            <v>211.38146365999998</v>
          </cell>
        </row>
        <row r="142">
          <cell r="G142" t="str">
            <v>CODIFB-SHAPE G5</v>
          </cell>
          <cell r="Q142">
            <v>176.63478240000001</v>
          </cell>
        </row>
        <row r="143">
          <cell r="G143" t="str">
            <v>UNIPOWDERSBT-GTCC Gel15PC（103307)25</v>
          </cell>
          <cell r="Q143">
            <v>56.495881869785507</v>
          </cell>
        </row>
        <row r="144">
          <cell r="G144" t="str">
            <v>UNIPOWDERSBT-ID Gel12/PC(103312)25</v>
          </cell>
          <cell r="Q144">
            <v>55.26298123342189</v>
          </cell>
        </row>
        <row r="145">
          <cell r="G145" t="str">
            <v>SPEC CHEMCAFFEIC ACID1</v>
          </cell>
          <cell r="Q145">
            <v>556.5</v>
          </cell>
        </row>
        <row r="146">
          <cell r="G146" t="str">
            <v>IC BIOCAFFEINE S101</v>
          </cell>
          <cell r="Q146">
            <v>518.09324450000008</v>
          </cell>
        </row>
        <row r="147">
          <cell r="G147" t="str">
            <v>IC BIOCAFFEINE S105</v>
          </cell>
          <cell r="Q147">
            <v>398.53326499999997</v>
          </cell>
        </row>
        <row r="148">
          <cell r="G148" t="str">
            <v>IC BIOCAFFEINE S1020</v>
          </cell>
          <cell r="Q148">
            <v>262.17619999999994</v>
          </cell>
        </row>
        <row r="149">
          <cell r="G149" t="str">
            <v>IC BIOCAFFEINE S10100</v>
          </cell>
          <cell r="Q149">
            <v>183.46359999999999</v>
          </cell>
        </row>
        <row r="150">
          <cell r="G150" t="str">
            <v>HAIHANGCALCIUM SILICATE25</v>
          </cell>
          <cell r="Q150">
            <v>26.45</v>
          </cell>
        </row>
        <row r="151">
          <cell r="G151" t="str">
            <v>DERMALABCALENDULA EXTRACT(HD)5</v>
          </cell>
          <cell r="Q151">
            <v>124.33427555555555</v>
          </cell>
        </row>
        <row r="152">
          <cell r="G152" t="str">
            <v>BIOLANDCAMELLIA JAPONICA FLOWER EXTRACT5</v>
          </cell>
          <cell r="Q152">
            <v>234.10200499999996</v>
          </cell>
        </row>
        <row r="153">
          <cell r="G153" t="str">
            <v>BIOLANDCAMELLIA JAPONICA LEAF EXTRACT-N20</v>
          </cell>
          <cell r="Q153">
            <v>219.91375499999995</v>
          </cell>
        </row>
        <row r="154">
          <cell r="G154" t="str">
            <v>DERMALABCAMU CAMU EXTRACT 200(HD)5</v>
          </cell>
          <cell r="Q154">
            <v>163.86979555555556</v>
          </cell>
        </row>
        <row r="155">
          <cell r="G155" t="str">
            <v>CODIFCAPIBIOME GPENT5</v>
          </cell>
          <cell r="Q155">
            <v>271.04140999999998</v>
          </cell>
        </row>
        <row r="156">
          <cell r="G156" t="str">
            <v>CODIFCAPIBIOME MNB1</v>
          </cell>
          <cell r="Q156">
            <v>255.39828911999996</v>
          </cell>
        </row>
        <row r="157">
          <cell r="G157" t="str">
            <v>CODIFCAPIBIOME MNB5</v>
          </cell>
          <cell r="Q157">
            <v>212.51071239999999</v>
          </cell>
        </row>
        <row r="158">
          <cell r="G158" t="str">
            <v>CODIFCAPIBIOME PE1</v>
          </cell>
          <cell r="Q158">
            <v>475.69884826000003</v>
          </cell>
        </row>
        <row r="159">
          <cell r="G159" t="str">
            <v>CODIFCAPIBIOME PE5</v>
          </cell>
          <cell r="Q159">
            <v>394.50165959999998</v>
          </cell>
        </row>
        <row r="160">
          <cell r="G160" t="str">
            <v>CODIFCAPIGUARD P1</v>
          </cell>
          <cell r="Q160">
            <v>194.46050685799997</v>
          </cell>
        </row>
        <row r="161">
          <cell r="G161" t="str">
            <v>CODIFCAPIGUARD P5</v>
          </cell>
          <cell r="Q161">
            <v>137.82169203999999</v>
          </cell>
        </row>
        <row r="162">
          <cell r="G162" t="str">
            <v>CODIFCAPIGUARD P30</v>
          </cell>
          <cell r="Q162">
            <v>117.1395516</v>
          </cell>
        </row>
        <row r="163">
          <cell r="G163" t="str">
            <v>CODIFCAPIGUARD PA1</v>
          </cell>
          <cell r="Q163">
            <v>238.17297504300001</v>
          </cell>
        </row>
        <row r="164">
          <cell r="G164" t="str">
            <v>CODIFCAPIGUARD PA5</v>
          </cell>
          <cell r="Q164">
            <v>178.42971602000003</v>
          </cell>
        </row>
        <row r="165">
          <cell r="G165" t="str">
            <v>CODIFCAPIGUARD PA30</v>
          </cell>
          <cell r="Q165">
            <v>151.41576800000001</v>
          </cell>
        </row>
        <row r="166">
          <cell r="G166" t="str">
            <v>BIOLANDCARROT COLLAGEN5</v>
          </cell>
          <cell r="Q166">
            <v>150.21159500000002</v>
          </cell>
        </row>
        <row r="167">
          <cell r="G167" t="str">
            <v>DERMALABCARROT EXTRACT(O)5</v>
          </cell>
          <cell r="Q167">
            <v>67.865555555555559</v>
          </cell>
        </row>
        <row r="168">
          <cell r="G168" t="str">
            <v>OLICELLPOLYPID - PMB 8100E1</v>
          </cell>
          <cell r="Q168">
            <v>345.93580000000003</v>
          </cell>
        </row>
        <row r="169">
          <cell r="G169" t="str">
            <v>OLICELLPOLYPID - PMB 8100E1</v>
          </cell>
          <cell r="Q169">
            <v>576</v>
          </cell>
        </row>
        <row r="170">
          <cell r="G170" t="str">
            <v>OLICELLPOLYPID 31005</v>
          </cell>
          <cell r="Q170">
            <v>270</v>
          </cell>
        </row>
        <row r="171">
          <cell r="G171" t="str">
            <v>MICRO POWDERSCELSCRUB 201</v>
          </cell>
          <cell r="Q171">
            <v>74.067708704000026</v>
          </cell>
        </row>
        <row r="172">
          <cell r="G172" t="str">
            <v>MICRO POWDERSCELSCRUB 205</v>
          </cell>
          <cell r="Q172">
            <v>67.334280640000017</v>
          </cell>
        </row>
        <row r="173">
          <cell r="G173" t="str">
            <v>MICRO POWDERSCELSCRUB 2025</v>
          </cell>
          <cell r="Q173">
            <v>61.212982400000008</v>
          </cell>
        </row>
        <row r="174">
          <cell r="G174" t="str">
            <v>MICRO POWDERSCELSCRUB 2055</v>
          </cell>
          <cell r="Q174">
            <v>52.89600581818182</v>
          </cell>
        </row>
        <row r="175">
          <cell r="G175" t="str">
            <v>BIOLANDCENTELLA ASIATICA LEAF EXTRACT10</v>
          </cell>
          <cell r="Q175">
            <v>163.16075499999999</v>
          </cell>
        </row>
        <row r="176">
          <cell r="G176" t="str">
            <v>DERMALABCENTELLA EXTRACT(O)5</v>
          </cell>
          <cell r="Q176">
            <v>197.52154355555555</v>
          </cell>
        </row>
        <row r="177">
          <cell r="G177" t="str">
            <v>BIOLANDCENTELLA PHYTO-EXOSOME1</v>
          </cell>
          <cell r="Q177">
            <v>798.03563124999994</v>
          </cell>
        </row>
        <row r="178">
          <cell r="G178" t="str">
            <v>BIOLANDCENTELLA PHYTO-EXOSOME5</v>
          </cell>
          <cell r="Q178">
            <v>638.42850499999997</v>
          </cell>
        </row>
        <row r="179">
          <cell r="G179" t="str">
            <v>IC BIOCENTELLALACTO10</v>
          </cell>
          <cell r="Q179">
            <v>321.1746</v>
          </cell>
        </row>
        <row r="180">
          <cell r="G180" t="str">
            <v>BIOLANDCENTTELLA EXTRACT H5</v>
          </cell>
          <cell r="Q180">
            <v>171.67370499999998</v>
          </cell>
        </row>
        <row r="181">
          <cell r="G181" t="str">
            <v>IC BIOCERA BOOSTER10</v>
          </cell>
          <cell r="Q181">
            <v>275.85459999999995</v>
          </cell>
        </row>
        <row r="182">
          <cell r="G182" t="str">
            <v>BIOLANDCERAMILAR1</v>
          </cell>
          <cell r="Q182">
            <v>1912.8372049999998</v>
          </cell>
        </row>
        <row r="183">
          <cell r="G183" t="str">
            <v>DERMALABC-EXO (GHD)1</v>
          </cell>
          <cell r="Q183">
            <v>678.16344444444451</v>
          </cell>
        </row>
        <row r="184">
          <cell r="G184" t="str">
            <v>DERMALABC-EXO (GHD)5</v>
          </cell>
          <cell r="Q184">
            <v>542.53075555555563</v>
          </cell>
        </row>
        <row r="185">
          <cell r="G185" t="str">
            <v>BIOLANDCHAMOMILE EXTRACT5</v>
          </cell>
          <cell r="Q185">
            <v>120.59600499999999</v>
          </cell>
        </row>
        <row r="186">
          <cell r="G186" t="str">
            <v>DERMALABCHAMOMILE EXTRACT(HD)5</v>
          </cell>
          <cell r="Q186">
            <v>121.55245155555556</v>
          </cell>
        </row>
        <row r="187">
          <cell r="G187" t="str">
            <v>NORMACTIVECHROMAZONE5</v>
          </cell>
          <cell r="Q187">
            <v>617.15909090909088</v>
          </cell>
        </row>
        <row r="188">
          <cell r="G188" t="str">
            <v>NORMACTIVECHROMAZONE25</v>
          </cell>
          <cell r="Q188">
            <v>465.86363636363626</v>
          </cell>
        </row>
        <row r="189">
          <cell r="G189" t="str">
            <v>NORMACTIVECHROMAZONE100</v>
          </cell>
          <cell r="Q189">
            <v>365.27272727272725</v>
          </cell>
        </row>
        <row r="190">
          <cell r="G190" t="str">
            <v>NORMACTIVECHROMAZONE™ SP- HAIR COLOR PROTECTION5</v>
          </cell>
          <cell r="Q190">
            <v>617.15909090909088</v>
          </cell>
        </row>
        <row r="191">
          <cell r="G191" t="str">
            <v>NORMACTIVECHROMAZONE™ SP- HAIR COLOR PROTECTION25</v>
          </cell>
          <cell r="Q191">
            <v>465.86363636363626</v>
          </cell>
        </row>
        <row r="192">
          <cell r="G192" t="str">
            <v>NORMACTIVECHROMAZONE™ SP- HAIR COLOR PROTECTION100</v>
          </cell>
          <cell r="Q192">
            <v>365.27272727272725</v>
          </cell>
        </row>
        <row r="193">
          <cell r="G193" t="str">
            <v>CODIFCIRE DE BLE NOIR / BUCKWHEAT WAX1</v>
          </cell>
          <cell r="Q193">
            <v>817.63410147999991</v>
          </cell>
        </row>
        <row r="194">
          <cell r="G194" t="str">
            <v>CODIFCIRE DE BLE NOIR / BUCKWHEAT WAX5</v>
          </cell>
          <cell r="Q194">
            <v>648.99727320000011</v>
          </cell>
        </row>
        <row r="195">
          <cell r="G195" t="str">
            <v>CODIFCITYGUARD + PA1</v>
          </cell>
          <cell r="Q195">
            <v>266.35515101999994</v>
          </cell>
        </row>
        <row r="196">
          <cell r="G196" t="str">
            <v>CODIFCITYGUARD + PA5</v>
          </cell>
          <cell r="Q196">
            <v>227.56684039999999</v>
          </cell>
        </row>
        <row r="197">
          <cell r="G197" t="str">
            <v>CODIFCITYGUARD PE1</v>
          </cell>
          <cell r="Q197">
            <v>245.30715457999997</v>
          </cell>
        </row>
        <row r="198">
          <cell r="G198" t="str">
            <v>CODIFCITYGUARD PE5</v>
          </cell>
          <cell r="Q198">
            <v>209.66416319999999</v>
          </cell>
        </row>
        <row r="199">
          <cell r="G199" t="str">
            <v>IC BIOCLEANBIO PO10</v>
          </cell>
          <cell r="Q199">
            <v>366.37100000000004</v>
          </cell>
        </row>
        <row r="200">
          <cell r="G200" t="str">
            <v>SPEC CHEMCOENZIME Q101</v>
          </cell>
          <cell r="Q200">
            <v>426</v>
          </cell>
        </row>
        <row r="201">
          <cell r="G201" t="str">
            <v>BIOLANDCOLIANCE5</v>
          </cell>
          <cell r="Q201">
            <v>146.97687999999999</v>
          </cell>
        </row>
        <row r="202">
          <cell r="G202" t="str">
            <v>BIOLANDCOLINUS1</v>
          </cell>
          <cell r="Q202">
            <v>2124.5640050000002</v>
          </cell>
        </row>
        <row r="203">
          <cell r="G203" t="str">
            <v>BIOLANDCOLINUS-P (PROPANEDIOL VERS.)1</v>
          </cell>
          <cell r="Q203">
            <v>2124.5640050000002</v>
          </cell>
        </row>
        <row r="204">
          <cell r="G204" t="str">
            <v>CODIFCONC LIGHTERIS GPENT5</v>
          </cell>
          <cell r="Q204">
            <v>186.44895199999999</v>
          </cell>
        </row>
        <row r="205">
          <cell r="G205" t="str">
            <v>CODIFCONC NEUROLIGHT GPENT5</v>
          </cell>
          <cell r="Q205">
            <v>724.89092800000003</v>
          </cell>
        </row>
        <row r="206">
          <cell r="G206" t="str">
            <v>CODIFCONCENTRE CORALLINE P1</v>
          </cell>
          <cell r="Q206">
            <v>522.53735882299998</v>
          </cell>
        </row>
        <row r="207">
          <cell r="G207" t="str">
            <v>CODIFCONCENTRE CORALLINE P5</v>
          </cell>
          <cell r="Q207">
            <v>409.11900348</v>
          </cell>
        </row>
        <row r="208">
          <cell r="G208" t="str">
            <v>CODIFCONCENTRE CORALLINE P30</v>
          </cell>
          <cell r="Q208">
            <v>355.73213000000004</v>
          </cell>
        </row>
        <row r="209">
          <cell r="G209" t="str">
            <v>IC BIOCOQ SOME L5</v>
          </cell>
          <cell r="Q209">
            <v>593.17700000000002</v>
          </cell>
        </row>
        <row r="210">
          <cell r="G210" t="str">
            <v>IC BIOCORAL CALCIUM10</v>
          </cell>
          <cell r="Q210">
            <v>258.60724999999996</v>
          </cell>
        </row>
        <row r="211">
          <cell r="G211" t="str">
            <v>CODIFCORNEOSTICKER DS21</v>
          </cell>
          <cell r="Q211">
            <v>561.54112679999992</v>
          </cell>
        </row>
        <row r="212">
          <cell r="G212" t="str">
            <v>CODIFCORNEOSTICKER DS25</v>
          </cell>
          <cell r="Q212">
            <v>460.93682439999998</v>
          </cell>
        </row>
        <row r="213">
          <cell r="G213" t="str">
            <v>DERMALABCRANBERRY EXTRACT(HD)5</v>
          </cell>
          <cell r="Q213">
            <v>136.43059555555556</v>
          </cell>
        </row>
        <row r="214">
          <cell r="G214" t="str">
            <v>CODIFCYBRIGHT G1</v>
          </cell>
          <cell r="Q214">
            <v>164.55102427999998</v>
          </cell>
        </row>
        <row r="215">
          <cell r="G215" t="str">
            <v>CODIFCYBRIGHT G5</v>
          </cell>
          <cell r="Q215">
            <v>143.0878472</v>
          </cell>
        </row>
        <row r="216">
          <cell r="G216" t="str">
            <v>CODIFCYBRIGHT GP1</v>
          </cell>
          <cell r="Q216">
            <v>171.01692549999996</v>
          </cell>
        </row>
        <row r="217">
          <cell r="G217" t="str">
            <v>CODIFCYBRIGHT GP5</v>
          </cell>
          <cell r="Q217">
            <v>143.0878472</v>
          </cell>
        </row>
        <row r="218">
          <cell r="G218" t="str">
            <v>CODIFCYBRIGHT GPENT5</v>
          </cell>
          <cell r="Q218">
            <v>224.95554319999997</v>
          </cell>
        </row>
        <row r="219">
          <cell r="G219" t="str">
            <v>ZHONGLANCYSTEAMINE HCL1</v>
          </cell>
          <cell r="Q219">
            <v>300.82000000000005</v>
          </cell>
        </row>
        <row r="220">
          <cell r="G220" t="str">
            <v>ZHONGLANCYSTEAMINE HCL5</v>
          </cell>
          <cell r="Q220">
            <v>231.4</v>
          </cell>
        </row>
        <row r="221">
          <cell r="G221" t="str">
            <v>ZHONGLANCYSTEAMINE HCL25</v>
          </cell>
          <cell r="Q221">
            <v>178</v>
          </cell>
        </row>
        <row r="222">
          <cell r="G222" t="str">
            <v>NORMACTIVEDANDELIX PRO5</v>
          </cell>
          <cell r="Q222">
            <v>543.66477272727275</v>
          </cell>
        </row>
        <row r="223">
          <cell r="G223" t="str">
            <v>NORMACTIVEDANDELIX PRO25</v>
          </cell>
          <cell r="Q223">
            <v>379.22727272727275</v>
          </cell>
        </row>
        <row r="224">
          <cell r="G224" t="str">
            <v>NORMACTIVEDANDELIX PRO100</v>
          </cell>
          <cell r="Q224">
            <v>291</v>
          </cell>
        </row>
        <row r="225">
          <cell r="G225" t="str">
            <v>NORMACTIVEDANDELIX PRO™ CM - ANTI-DANDRUFF, ANTI IRRITATION5</v>
          </cell>
          <cell r="Q225">
            <v>543.66477272727275</v>
          </cell>
        </row>
        <row r="226">
          <cell r="G226" t="str">
            <v>NORMACTIVEDANDELIX PRO™ CM - ANTI-DANDRUFF, ANTI IRRITATION25</v>
          </cell>
          <cell r="Q226">
            <v>379.22727272727275</v>
          </cell>
        </row>
        <row r="227">
          <cell r="G227" t="str">
            <v>NORMACTIVEDANDELIX PRO™ CM - ANTI-DANDRUFF, ANTI IRRITATION100</v>
          </cell>
          <cell r="Q227">
            <v>291</v>
          </cell>
        </row>
        <row r="228">
          <cell r="G228" t="str">
            <v>SENTINALCODENATONIUM BENZOATE SOLUTION 25% w/w ETHANOL Abs0,8</v>
          </cell>
          <cell r="Q228">
            <v>257.55</v>
          </cell>
        </row>
        <row r="229">
          <cell r="G229" t="str">
            <v>BIOLANDDERMABIOTICS HDB 1196 GN5</v>
          </cell>
          <cell r="Q229">
            <v>301.36100499999998</v>
          </cell>
        </row>
        <row r="230">
          <cell r="G230" t="str">
            <v>DERMALABDERMANIO-VDM5</v>
          </cell>
          <cell r="Q230">
            <v>121.79635555555558</v>
          </cell>
        </row>
        <row r="231">
          <cell r="G231" t="str">
            <v>CODIFDERMOCHLORELLA DG1</v>
          </cell>
          <cell r="Q231">
            <v>341.72753929999993</v>
          </cell>
        </row>
        <row r="232">
          <cell r="G232" t="str">
            <v>CODIFDERMOCHLORELLA DG5</v>
          </cell>
          <cell r="Q232">
            <v>252.7152792</v>
          </cell>
        </row>
        <row r="233">
          <cell r="G233" t="str">
            <v>CODIFDERMOCHLORELLA DP1</v>
          </cell>
          <cell r="Q233">
            <v>479.37818953999988</v>
          </cell>
        </row>
        <row r="234">
          <cell r="G234" t="str">
            <v>CODIFDERMOCHLORELLA DP5</v>
          </cell>
          <cell r="Q234">
            <v>407.53462039999999</v>
          </cell>
        </row>
        <row r="235">
          <cell r="G235" t="str">
            <v>CODIFDERMOSCULPT G MNB1</v>
          </cell>
          <cell r="Q235">
            <v>193.36351297999991</v>
          </cell>
        </row>
        <row r="236">
          <cell r="G236" t="str">
            <v>CODIFDERMOSCULPT G MNB5</v>
          </cell>
          <cell r="Q236">
            <v>168.11865999999998</v>
          </cell>
        </row>
        <row r="237">
          <cell r="G237" t="str">
            <v>CODIFDERMOSCULPT GPENT5</v>
          </cell>
          <cell r="Q237">
            <v>221.21503639999997</v>
          </cell>
        </row>
        <row r="238">
          <cell r="G238" t="str">
            <v>KUMARDIAMINOPYRIMIDINE OXIDE5</v>
          </cell>
          <cell r="Q238">
            <v>992.5</v>
          </cell>
        </row>
        <row r="239">
          <cell r="G239" t="str">
            <v>KUMARDIAMINOPYRIMIDINE OXIDE1</v>
          </cell>
          <cell r="Q239">
            <v>1240.625</v>
          </cell>
        </row>
        <row r="240">
          <cell r="G240" t="str">
            <v>KUMARDIAMINOPYRIMIDINE OXIDE25</v>
          </cell>
          <cell r="Q240">
            <v>794</v>
          </cell>
        </row>
        <row r="241">
          <cell r="G241" t="str">
            <v>DERMALABDRAGON FRUIT EXTRACT(HD)5</v>
          </cell>
          <cell r="Q241">
            <v>139.56179555555559</v>
          </cell>
        </row>
        <row r="242">
          <cell r="G242" t="str">
            <v>DERMALABDUAL LIFTING CARE5</v>
          </cell>
          <cell r="Q242">
            <v>146.18675555555555</v>
          </cell>
        </row>
        <row r="243">
          <cell r="G243" t="str">
            <v>CODIFEARLY BOOST PA1</v>
          </cell>
          <cell r="Q243">
            <v>323.41199484000003</v>
          </cell>
        </row>
        <row r="244">
          <cell r="G244" t="str">
            <v>CODIFEARLY BOOST PA5</v>
          </cell>
          <cell r="Q244">
            <v>268.68889000000001</v>
          </cell>
        </row>
        <row r="245">
          <cell r="G245" t="str">
            <v>CODIFEARLY BOOST PE1</v>
          </cell>
          <cell r="Q245">
            <v>308.50525185999993</v>
          </cell>
        </row>
        <row r="246">
          <cell r="G246" t="str">
            <v>CODIFEARLY BOOST PE5</v>
          </cell>
          <cell r="Q246">
            <v>256.38521040000001</v>
          </cell>
        </row>
        <row r="247">
          <cell r="G247" t="str">
            <v>CODIFEARTH MARINE WATER G1</v>
          </cell>
          <cell r="Q247">
            <v>116.42199385999999</v>
          </cell>
        </row>
        <row r="248">
          <cell r="G248" t="str">
            <v>CODIFEARTH MARINE WATER G5</v>
          </cell>
          <cell r="Q248">
            <v>84.486574000000005</v>
          </cell>
        </row>
        <row r="249">
          <cell r="G249" t="str">
            <v>CODIFEARTH MARINE WATER GP5</v>
          </cell>
          <cell r="Q249">
            <v>86.227438800000002</v>
          </cell>
        </row>
        <row r="250">
          <cell r="G250" t="str">
            <v>CODIFEAU D'AJONC G / GORSE WATER G5</v>
          </cell>
          <cell r="Q250">
            <v>157.20296719999999</v>
          </cell>
        </row>
        <row r="251">
          <cell r="G251" t="str">
            <v>DERMALABECM-55</v>
          </cell>
          <cell r="Q251">
            <v>175.09267555555556</v>
          </cell>
        </row>
        <row r="252">
          <cell r="G252" t="str">
            <v>DERMALABECM-5(HD)5</v>
          </cell>
          <cell r="Q252">
            <v>176.99611555555558</v>
          </cell>
        </row>
        <row r="253">
          <cell r="G253" t="str">
            <v>CITROLEOECO SCRUB MURUMURU5</v>
          </cell>
          <cell r="Q253">
            <v>24.216000000000001</v>
          </cell>
        </row>
        <row r="254">
          <cell r="G254" t="str">
            <v>IC BIOECOCERAMIDE ARGAN10</v>
          </cell>
          <cell r="Q254">
            <v>1191.0919999999999</v>
          </cell>
        </row>
        <row r="255">
          <cell r="G255" t="str">
            <v>IC BIOECOCERAMIDE EVENING PRIMROSE10</v>
          </cell>
          <cell r="Q255">
            <v>1227.0390000000002</v>
          </cell>
        </row>
        <row r="256">
          <cell r="G256" t="str">
            <v>IC BIOECOCERAMIDE HU.SKIN10</v>
          </cell>
          <cell r="Q256">
            <v>1155.145</v>
          </cell>
        </row>
        <row r="257">
          <cell r="G257" t="str">
            <v>IC BIOECOCERAMIDE LCS5</v>
          </cell>
          <cell r="Q257">
            <v>1083.251</v>
          </cell>
        </row>
        <row r="258">
          <cell r="G258" t="str">
            <v>IC BIOECOCERAMIDE LCS 2010</v>
          </cell>
          <cell r="Q258">
            <v>3042.3624999999997</v>
          </cell>
        </row>
        <row r="259">
          <cell r="G259" t="str">
            <v>IC BIOECOCERAMIDE MEADOWFOAM10</v>
          </cell>
          <cell r="Q259">
            <v>1155.145</v>
          </cell>
        </row>
        <row r="260">
          <cell r="G260" t="str">
            <v>IC BIOECOCERAMIDE MORINGA10</v>
          </cell>
          <cell r="Q260">
            <v>1262.9860000000001</v>
          </cell>
        </row>
        <row r="261">
          <cell r="G261" t="str">
            <v>IC BIOECOCERAMIDE PHYTO MA:U10</v>
          </cell>
          <cell r="Q261">
            <v>1083.251</v>
          </cell>
        </row>
        <row r="262">
          <cell r="G262" t="str">
            <v>IC BIOECOCERAMIDE ROSEHIP10</v>
          </cell>
          <cell r="Q262">
            <v>1119.1979999999999</v>
          </cell>
        </row>
        <row r="263">
          <cell r="G263" t="str">
            <v>IC BIOECOCERAMIDE SEABUCKTHORN10</v>
          </cell>
          <cell r="Q263">
            <v>1155.145</v>
          </cell>
        </row>
        <row r="264">
          <cell r="G264" t="str">
            <v>IC BIOECOCERAMIDE SHEABUTTER10</v>
          </cell>
          <cell r="Q264">
            <v>1083.251</v>
          </cell>
        </row>
        <row r="265">
          <cell r="G265" t="str">
            <v>IC BIOECOCERAMIDE SHEABUTTER 2010</v>
          </cell>
          <cell r="Q265">
            <v>3042.3624999999997</v>
          </cell>
        </row>
        <row r="266">
          <cell r="G266" t="str">
            <v>DERMALABECOMUSHLYTE(G)5</v>
          </cell>
          <cell r="Q266">
            <v>168.44299555555557</v>
          </cell>
        </row>
        <row r="267">
          <cell r="G267" t="str">
            <v>DERMALABECOMUSHLYTE(HD)5</v>
          </cell>
          <cell r="Q267">
            <v>168.44299555555557</v>
          </cell>
        </row>
        <row r="268">
          <cell r="G268" t="str">
            <v>MICRO POWDERSECOSCRUB 100PC25</v>
          </cell>
          <cell r="Q268">
            <v>100.32117600000001</v>
          </cell>
        </row>
        <row r="269">
          <cell r="G269" t="str">
            <v>MICRO POWDERSECOSCRUB 100PC70</v>
          </cell>
          <cell r="Q269">
            <v>88.448909090909069</v>
          </cell>
        </row>
        <row r="270">
          <cell r="G270" t="str">
            <v>MICRO POWDERSECOSCRUB 1435PC25</v>
          </cell>
          <cell r="Q270">
            <v>55.268316800000001</v>
          </cell>
        </row>
        <row r="271">
          <cell r="G271" t="str">
            <v>MICRO POWDERSECOSCRUB 1435PC70</v>
          </cell>
          <cell r="Q271">
            <v>47.491764363636371</v>
          </cell>
        </row>
        <row r="272">
          <cell r="G272" t="str">
            <v>MICRO POWDERSECOSCRUB 20PC5</v>
          </cell>
          <cell r="Q272">
            <v>55.739430560000002</v>
          </cell>
        </row>
        <row r="273">
          <cell r="G273" t="str">
            <v>MICRO POWDERSECOSCRUB 20PC25</v>
          </cell>
          <cell r="Q273">
            <v>50.672209600000002</v>
          </cell>
        </row>
        <row r="274">
          <cell r="G274" t="str">
            <v>MICRO POWDERSECOSCRUB 20PC70</v>
          </cell>
          <cell r="Q274">
            <v>46.065645090909086</v>
          </cell>
        </row>
        <row r="275">
          <cell r="G275" t="str">
            <v>MICRO POWDERSECOSCRUB 40PC25</v>
          </cell>
          <cell r="Q275">
            <v>59.809380800000007</v>
          </cell>
        </row>
        <row r="276">
          <cell r="G276" t="str">
            <v>MICRO POWDERSECOSCRUB 40PC70</v>
          </cell>
          <cell r="Q276">
            <v>51.620004363636362</v>
          </cell>
        </row>
        <row r="277">
          <cell r="G277" t="str">
            <v>MICRO POWDERSECOSCRUB 50PC25</v>
          </cell>
          <cell r="Q277">
            <v>62.478976000000003</v>
          </cell>
        </row>
        <row r="278">
          <cell r="G278" t="str">
            <v>MICRO POWDERSECOSCRUB 50PC70</v>
          </cell>
          <cell r="Q278">
            <v>54.046909090909082</v>
          </cell>
        </row>
        <row r="279">
          <cell r="G279" t="str">
            <v>MICRO POWDERSECOSCRUB 80PC25</v>
          </cell>
          <cell r="Q279">
            <v>79.542367999999996</v>
          </cell>
        </row>
        <row r="280">
          <cell r="G280" t="str">
            <v>MICRO POWDERSECOSCRUB 80PC70</v>
          </cell>
          <cell r="Q280">
            <v>69.559083636363638</v>
          </cell>
        </row>
        <row r="281">
          <cell r="G281" t="str">
            <v>MICRO POWDERSECOSOFT 60825</v>
          </cell>
          <cell r="Q281">
            <v>90.138183999999995</v>
          </cell>
        </row>
        <row r="282">
          <cell r="G282" t="str">
            <v>MICRO POWDERSECOSOFT 60870</v>
          </cell>
          <cell r="Q282">
            <v>79.191643636363636</v>
          </cell>
        </row>
        <row r="283">
          <cell r="G283" t="str">
            <v>MICRO POWDERSECOSOFT 608XF25</v>
          </cell>
          <cell r="Q283">
            <v>103.761376</v>
          </cell>
        </row>
        <row r="284">
          <cell r="G284" t="str">
            <v>MICRO POWDERSECOSOFT 608XF70</v>
          </cell>
          <cell r="Q284">
            <v>91.576363636363624</v>
          </cell>
        </row>
        <row r="285">
          <cell r="G285" t="str">
            <v>MICRO POWDERSECOSOFT 61125</v>
          </cell>
          <cell r="Q285">
            <v>90.68119999999999</v>
          </cell>
        </row>
        <row r="286">
          <cell r="G286" t="str">
            <v>MICRO POWDERSECOSOFT 61170</v>
          </cell>
          <cell r="Q286">
            <v>79.759454545454531</v>
          </cell>
        </row>
        <row r="287">
          <cell r="G287" t="str">
            <v>MICRO POWDERSECOSOFT 627S25</v>
          </cell>
          <cell r="Q287">
            <v>123.32923360000001</v>
          </cell>
        </row>
        <row r="288">
          <cell r="G288" t="str">
            <v>MICRO POWDERSECOSOFT 627S70</v>
          </cell>
          <cell r="Q288">
            <v>109.36532509090908</v>
          </cell>
        </row>
        <row r="289">
          <cell r="G289" t="str">
            <v>CODIFEPIDERMIST 40 PA1</v>
          </cell>
          <cell r="Q289">
            <v>653.60582074000001</v>
          </cell>
        </row>
        <row r="290">
          <cell r="G290" t="str">
            <v>CODIFEPIDERMIST 40 PA5</v>
          </cell>
          <cell r="Q290">
            <v>554.89647319999995</v>
          </cell>
        </row>
        <row r="291">
          <cell r="G291" t="str">
            <v>CODIFEPIDERMIST P 1.51</v>
          </cell>
          <cell r="Q291">
            <v>613.18717461999984</v>
          </cell>
        </row>
        <row r="292">
          <cell r="G292" t="str">
            <v>CODIFEPIDERMIST P 1.55</v>
          </cell>
          <cell r="Q292">
            <v>520.62025679999999</v>
          </cell>
        </row>
        <row r="293">
          <cell r="G293" t="str">
            <v>CODIFEPS BRIGHT P1</v>
          </cell>
          <cell r="Q293">
            <v>501.81067695999997</v>
          </cell>
        </row>
        <row r="294">
          <cell r="G294" t="str">
            <v>CODIFEPS BRIGHT P5</v>
          </cell>
          <cell r="Q294">
            <v>428.40715839999996</v>
          </cell>
        </row>
        <row r="295">
          <cell r="G295" t="str">
            <v>CODIFEPS BRIGHT PA1</v>
          </cell>
          <cell r="Q295">
            <v>517.6666782399999</v>
          </cell>
        </row>
        <row r="296">
          <cell r="G296" t="str">
            <v>CODIFEPS BRIGHT PA5</v>
          </cell>
          <cell r="Q296">
            <v>441.93394239999998</v>
          </cell>
        </row>
        <row r="297">
          <cell r="G297" t="str">
            <v>CODIFEPS SEAFILL P 1.51</v>
          </cell>
          <cell r="Q297">
            <v>517.3664785599999</v>
          </cell>
        </row>
        <row r="298">
          <cell r="G298" t="str">
            <v>CODIFEPS SEAFILL P 1.55</v>
          </cell>
          <cell r="Q298">
            <v>436.38084160000005</v>
          </cell>
        </row>
        <row r="299">
          <cell r="G299" t="str">
            <v>CODIFEPS SEAFILL PA1</v>
          </cell>
          <cell r="Q299">
            <v>535.37845935999997</v>
          </cell>
        </row>
        <row r="300">
          <cell r="G300" t="str">
            <v>CODIFEPS SEAFILL PA5</v>
          </cell>
          <cell r="Q300">
            <v>447.3209248</v>
          </cell>
        </row>
        <row r="301">
          <cell r="G301" t="str">
            <v>CODIFEPS SEAGLOW MNB1</v>
          </cell>
          <cell r="Q301">
            <v>1347.572048104</v>
          </cell>
        </row>
        <row r="302">
          <cell r="G302" t="str">
            <v>CODIFEPS SEAGLOW MNB5</v>
          </cell>
          <cell r="Q302">
            <v>1018.9580704000001</v>
          </cell>
        </row>
        <row r="303">
          <cell r="G303" t="str">
            <v>CODIFEPS SEAGLOW MNB5</v>
          </cell>
          <cell r="Q303">
            <v>1052.3241376000001</v>
          </cell>
        </row>
        <row r="304">
          <cell r="G304" t="str">
            <v>CODIFEPS SEAMAT P 1.51</v>
          </cell>
          <cell r="Q304">
            <v>514.80113583999992</v>
          </cell>
        </row>
        <row r="305">
          <cell r="G305" t="str">
            <v>CODIFEPS SEAMAT P 1.55</v>
          </cell>
          <cell r="Q305">
            <v>434.19757119999997</v>
          </cell>
        </row>
        <row r="306">
          <cell r="G306" t="str">
            <v>CODIFEPS SEAMAT PA1</v>
          </cell>
          <cell r="Q306">
            <v>548.99660847999996</v>
          </cell>
        </row>
        <row r="307">
          <cell r="G307" t="str">
            <v>CODIFEPS SEAMAT PA5</v>
          </cell>
          <cell r="Q307">
            <v>458.71190080000002</v>
          </cell>
        </row>
        <row r="308">
          <cell r="G308" t="str">
            <v>CODIFEPS SEAPUR HDO1</v>
          </cell>
          <cell r="Q308">
            <v>1129.1188446399999</v>
          </cell>
        </row>
        <row r="309">
          <cell r="G309" t="str">
            <v>CODIFEPS SEAPUR HDO5</v>
          </cell>
          <cell r="Q309">
            <v>936.5396128000001</v>
          </cell>
        </row>
        <row r="310">
          <cell r="G310" t="str">
            <v>CODIFEPS SEAPUR PA1</v>
          </cell>
          <cell r="Q310">
            <v>1062.1470251199999</v>
          </cell>
        </row>
        <row r="311">
          <cell r="G311" t="str">
            <v>CODIFEPS SEAPUR PA5</v>
          </cell>
          <cell r="Q311">
            <v>881.07979840000019</v>
          </cell>
        </row>
        <row r="312">
          <cell r="G312" t="str">
            <v>CODIFEPS SEAPUR PENT5</v>
          </cell>
          <cell r="Q312">
            <v>965.46794560000001</v>
          </cell>
        </row>
        <row r="313">
          <cell r="G313" t="str">
            <v>MPRESTEARATO DE OCTILA - CETIOL 86820</v>
          </cell>
          <cell r="Q313">
            <v>18.775818096256685</v>
          </cell>
        </row>
        <row r="314">
          <cell r="G314" t="str">
            <v>CHEMAXCELETHYL ASCORBIC ACID1</v>
          </cell>
          <cell r="Q314">
            <v>486.125</v>
          </cell>
        </row>
        <row r="315">
          <cell r="G315" t="str">
            <v>CHEMAXCELETHYL ASCORBIC ACID5</v>
          </cell>
          <cell r="Q315">
            <v>388.9</v>
          </cell>
        </row>
        <row r="316">
          <cell r="G316" t="str">
            <v>SPEC CHEMETHYL ASCORBIC ACID1</v>
          </cell>
          <cell r="Q316">
            <v>537.92499999999995</v>
          </cell>
        </row>
        <row r="317">
          <cell r="G317" t="str">
            <v>SPEC CHEMETHYL ASCORBIC ACID25</v>
          </cell>
          <cell r="Q317">
            <v>400.26</v>
          </cell>
        </row>
        <row r="318">
          <cell r="G318" t="str">
            <v>BIOLANDEUCOOLAN1</v>
          </cell>
          <cell r="Q318">
            <v>230.5537065</v>
          </cell>
        </row>
        <row r="319">
          <cell r="G319" t="str">
            <v>BIOLANDEUCOOLAN5</v>
          </cell>
          <cell r="Q319">
            <v>177.34900500000001</v>
          </cell>
        </row>
        <row r="320">
          <cell r="G320" t="str">
            <v>SPEC CHEMFERULIC ACID1</v>
          </cell>
          <cell r="Q320">
            <v>373.75</v>
          </cell>
        </row>
        <row r="321">
          <cell r="G321" t="str">
            <v>SPEC CHEMFERULIC ACID25</v>
          </cell>
          <cell r="Q321">
            <v>274.18</v>
          </cell>
        </row>
        <row r="322">
          <cell r="G322" t="str">
            <v>MPRFILTRASOL-FILTRO SOLAR UVA+UVB HS10</v>
          </cell>
          <cell r="Q322">
            <v>39.489451508021389</v>
          </cell>
        </row>
        <row r="323">
          <cell r="G323" t="str">
            <v>IC BIOFIRMINGGEL20</v>
          </cell>
          <cell r="Q323">
            <v>159.41310000000001</v>
          </cell>
        </row>
        <row r="324">
          <cell r="G324" t="str">
            <v>BIOLANDFRUCTAN20</v>
          </cell>
          <cell r="Q324">
            <v>126.07045500000001</v>
          </cell>
        </row>
        <row r="325">
          <cell r="G325" t="str">
            <v>IC BIOFUCOSENS20</v>
          </cell>
          <cell r="Q325">
            <v>165.08324999999999</v>
          </cell>
        </row>
        <row r="326">
          <cell r="G326" t="str">
            <v>BIOLANDGALACTOMYCES FERMENT FILTRATE20</v>
          </cell>
          <cell r="Q326">
            <v>144.29630499999999</v>
          </cell>
        </row>
        <row r="327">
          <cell r="G327" t="str">
            <v>BIOLANDGANODERMA EXTRACT20</v>
          </cell>
          <cell r="Q327">
            <v>192.43850499999999</v>
          </cell>
        </row>
        <row r="328">
          <cell r="G328" t="str">
            <v>DERMALABGARDENIA EXTRACT-DL5</v>
          </cell>
          <cell r="Q328">
            <v>133.85147555555557</v>
          </cell>
        </row>
        <row r="329">
          <cell r="G329" t="str">
            <v>MICRO POWDERSGELCREAM 114S5</v>
          </cell>
          <cell r="Q329">
            <v>87.280139999999989</v>
          </cell>
        </row>
        <row r="330">
          <cell r="G330" t="str">
            <v>MICRO POWDERSGELCREAM 114S15</v>
          </cell>
          <cell r="Q330">
            <v>79.345581818181799</v>
          </cell>
        </row>
        <row r="331">
          <cell r="G331" t="str">
            <v>MICRO POWDERSGELMATTE 51115</v>
          </cell>
          <cell r="Q331">
            <v>77.865602909090896</v>
          </cell>
        </row>
        <row r="332">
          <cell r="G332" t="str">
            <v>NORMACTIVEGERMAN CHAMOMILE FLOWER EXTRACT – G255</v>
          </cell>
          <cell r="Q332">
            <v>233.15885272727272</v>
          </cell>
        </row>
        <row r="333">
          <cell r="G333" t="str">
            <v>NORMACTIVEGERMAN CHAMOMILE FLOWER EXTRACT – G2525</v>
          </cell>
          <cell r="Q333">
            <v>152.81641818181816</v>
          </cell>
        </row>
        <row r="334">
          <cell r="G334" t="str">
            <v>NORMACTIVEGERMAN CHAMOMILE FLOWER EXTRACT – G25100</v>
          </cell>
          <cell r="Q334">
            <v>107.34472727272727</v>
          </cell>
        </row>
        <row r="335">
          <cell r="G335" t="str">
            <v>NORMACTIVEGERMAN CHAMOMILE FLOWER EXTRACT – G905</v>
          </cell>
          <cell r="Q335">
            <v>240.05835454545453</v>
          </cell>
        </row>
        <row r="336">
          <cell r="G336" t="str">
            <v>NORMACTIVEGERMAN CHAMOMILE FLOWER EXTRACT – G9025</v>
          </cell>
          <cell r="Q336">
            <v>163.43103636363637</v>
          </cell>
        </row>
        <row r="337">
          <cell r="G337" t="str">
            <v>NORMACTIVEGERMAN CHAMOMILE FLOWER EXTRACT – G90100</v>
          </cell>
          <cell r="Q337">
            <v>113.46854545454545</v>
          </cell>
        </row>
        <row r="338">
          <cell r="G338" t="str">
            <v>BIOLANDGINGER EXTRACT5</v>
          </cell>
          <cell r="Q338">
            <v>169.531305</v>
          </cell>
        </row>
        <row r="339">
          <cell r="G339" t="str">
            <v>BIOLANDGINGKO BILOBA EXTRACT20</v>
          </cell>
          <cell r="Q339">
            <v>163.80450499999998</v>
          </cell>
        </row>
        <row r="340">
          <cell r="G340" t="str">
            <v>BIOLANDGINKGO BILOBA20</v>
          </cell>
          <cell r="Q340">
            <v>650.58250499999997</v>
          </cell>
        </row>
        <row r="341">
          <cell r="G341" t="str">
            <v>BIOLANDGLA-40 GLYCYRRHIZA GLABRA (LICORICE) ROOT EXTRACT CETYL ALCOHOL0,1</v>
          </cell>
          <cell r="Q341">
            <v>11567.649545714286</v>
          </cell>
        </row>
        <row r="342">
          <cell r="G342" t="str">
            <v>HAIHANGGLUCONOLACTONE1</v>
          </cell>
          <cell r="Q342">
            <v>23.195250000000001</v>
          </cell>
        </row>
        <row r="343">
          <cell r="G343" t="str">
            <v>HAIHANGGLUCONOLACTONE5</v>
          </cell>
          <cell r="Q343">
            <v>17.842500000000001</v>
          </cell>
        </row>
        <row r="344">
          <cell r="G344" t="str">
            <v>HAIHANGGLUCONOLACTONE25</v>
          </cell>
          <cell r="Q344">
            <v>13.725</v>
          </cell>
        </row>
        <row r="345">
          <cell r="G345" t="str">
            <v>SPEC CHEMGLYCOLIC ACID 70%1</v>
          </cell>
          <cell r="Q345">
            <v>25.485200000000006</v>
          </cell>
        </row>
        <row r="346">
          <cell r="G346" t="str">
            <v>SPEC CHEMGLYCOLIC ACID 70%5</v>
          </cell>
          <cell r="Q346">
            <v>19.604000000000003</v>
          </cell>
        </row>
        <row r="347">
          <cell r="G347" t="str">
            <v>SPEC CHEMGLYCOLIC ACID 70%25</v>
          </cell>
          <cell r="Q347">
            <v>15.08</v>
          </cell>
        </row>
        <row r="348">
          <cell r="G348" t="str">
            <v>SPEC CHEMGLYCOLIC ACID 70%250</v>
          </cell>
          <cell r="Q348">
            <v>11.6</v>
          </cell>
        </row>
        <row r="349">
          <cell r="G349" t="str">
            <v>SPEC CHEMGLYCYRRHETINIC ACID25</v>
          </cell>
          <cell r="Q349">
            <v>1025.1600000000001</v>
          </cell>
        </row>
        <row r="350">
          <cell r="G350" t="str">
            <v>CODIFGOLDELLA1</v>
          </cell>
          <cell r="Q350">
            <v>3135.6461618599992</v>
          </cell>
        </row>
        <row r="351">
          <cell r="G351" t="str">
            <v>CODIFGOLDELLA4</v>
          </cell>
          <cell r="Q351">
            <v>2597.3308119999997</v>
          </cell>
        </row>
        <row r="352">
          <cell r="G352" t="str">
            <v>NORMACTIVEGOLDEN GLOW (TURMERIC+BLACK
PEPER+WHEAT GERM)25</v>
          </cell>
          <cell r="Q352">
            <v>137.96381818181817</v>
          </cell>
        </row>
        <row r="353">
          <cell r="G353" t="str">
            <v>DERMALABGRAPE EXTRACT-DL5</v>
          </cell>
          <cell r="Q353">
            <v>105.94259555555556</v>
          </cell>
        </row>
        <row r="354">
          <cell r="G354" t="str">
            <v>BIOLANDGREEN BEAN EXTRACT10</v>
          </cell>
          <cell r="Q354">
            <v>140.324625</v>
          </cell>
        </row>
        <row r="355">
          <cell r="G355" t="str">
            <v>DERMALABGREEN LAVER EXTRACT-DL5</v>
          </cell>
          <cell r="Q355">
            <v>131.24763555555558</v>
          </cell>
        </row>
        <row r="356">
          <cell r="G356" t="str">
            <v>BIOLANDGREEN TEA EXTRACT5</v>
          </cell>
          <cell r="Q356">
            <v>152.35090500000001</v>
          </cell>
        </row>
        <row r="357">
          <cell r="G357" t="str">
            <v>DERMALABGREEN TEA EXTRACT(HD)5</v>
          </cell>
          <cell r="Q357">
            <v>116.00363555555556</v>
          </cell>
        </row>
        <row r="358">
          <cell r="G358" t="str">
            <v>BIOLANDGREEN TEA SEED OIL5</v>
          </cell>
          <cell r="Q358">
            <v>189.57510500000001</v>
          </cell>
        </row>
        <row r="359">
          <cell r="G359" t="str">
            <v>DERMALABGULFWEED EXTRACT(HD)5</v>
          </cell>
          <cell r="Q359">
            <v>120.88171555555559</v>
          </cell>
        </row>
        <row r="360">
          <cell r="G360" t="str">
            <v>BIOLANDGXHA5</v>
          </cell>
          <cell r="Q360">
            <v>319.15533649999998</v>
          </cell>
        </row>
        <row r="361">
          <cell r="G361" t="str">
            <v>BIOLANDGXHA15</v>
          </cell>
          <cell r="Q361">
            <v>245.50410499999998</v>
          </cell>
        </row>
        <row r="362">
          <cell r="G362" t="str">
            <v>BIOLANDHA BEADS5</v>
          </cell>
          <cell r="Q362">
            <v>332.82750499999997</v>
          </cell>
        </row>
        <row r="363">
          <cell r="G363" t="str">
            <v>JOYVOHA NATIFLEX HYAMATE1</v>
          </cell>
          <cell r="Q363">
            <v>1926.666666666667</v>
          </cell>
        </row>
        <row r="364">
          <cell r="G364" t="str">
            <v>BIOLANDHASU LIQUID10</v>
          </cell>
          <cell r="Q364">
            <v>201.60138500000002</v>
          </cell>
        </row>
        <row r="365">
          <cell r="G365" t="str">
            <v>BIOLANDHERBAWHITE5</v>
          </cell>
          <cell r="Q365">
            <v>321.29150499999997</v>
          </cell>
        </row>
        <row r="366">
          <cell r="G366" t="str">
            <v>KUMARHEXYL RESORCINOL1</v>
          </cell>
          <cell r="Q366">
            <v>952.02499999999998</v>
          </cell>
        </row>
        <row r="367">
          <cell r="G367" t="str">
            <v>KUMARHEXYL RESORCINOL20</v>
          </cell>
          <cell r="Q367">
            <v>719.66</v>
          </cell>
        </row>
        <row r="368">
          <cell r="G368" t="str">
            <v>DERMALABHIZIKIA EXTRACT-DL5</v>
          </cell>
          <cell r="Q368">
            <v>124.54027555555557</v>
          </cell>
        </row>
        <row r="369">
          <cell r="G369" t="str">
            <v>BIOLANDHOCOX1</v>
          </cell>
          <cell r="Q369">
            <v>231.55795650000002</v>
          </cell>
        </row>
        <row r="370">
          <cell r="G370" t="str">
            <v>BIOLANDHOCOX5</v>
          </cell>
          <cell r="Q370">
            <v>178.12150500000001</v>
          </cell>
        </row>
        <row r="371">
          <cell r="G371" t="str">
            <v>DERMALABHORSE CHESTNUT EXTRACT(HD)5</v>
          </cell>
          <cell r="Q371">
            <v>148.12727555555557</v>
          </cell>
        </row>
        <row r="372">
          <cell r="G372" t="str">
            <v>BIOLANDHORSETAIL EXTRACT5</v>
          </cell>
          <cell r="Q372">
            <v>129.44370499999999</v>
          </cell>
        </row>
        <row r="373">
          <cell r="G373" t="str">
            <v>BIOLANDHORSETAIL EXTRACT (P)20</v>
          </cell>
          <cell r="Q373">
            <v>149.48750499999997</v>
          </cell>
        </row>
        <row r="374">
          <cell r="G374" t="str">
            <v>IC BIOHP ECOCERAMIDE LCS10</v>
          </cell>
          <cell r="Q374">
            <v>6066.2880000000005</v>
          </cell>
        </row>
        <row r="375">
          <cell r="G375" t="str">
            <v>IC BIOHP ECOCERAMIDE SB10</v>
          </cell>
          <cell r="Q375">
            <v>7384.3446666666659</v>
          </cell>
        </row>
        <row r="376">
          <cell r="G376" t="str">
            <v>BERI PHARMAHPR NANO1</v>
          </cell>
          <cell r="Q376">
            <v>1941.2666181818179</v>
          </cell>
        </row>
        <row r="377">
          <cell r="G377" t="str">
            <v>BERI PHARMAHPR NANO5</v>
          </cell>
          <cell r="Q377">
            <v>847.98295454545439</v>
          </cell>
        </row>
        <row r="378">
          <cell r="G378" t="str">
            <v>BERI PHARMAHPR NANO10</v>
          </cell>
          <cell r="Q378">
            <v>584.7954545454545</v>
          </cell>
        </row>
        <row r="379">
          <cell r="G379" t="str">
            <v>BERI PHARMAHPR NANO25</v>
          </cell>
          <cell r="Q379">
            <v>408.56363636363636</v>
          </cell>
        </row>
        <row r="380">
          <cell r="G380" t="str">
            <v>DERMALABHR-AMINO SG(BG)5</v>
          </cell>
          <cell r="Q380">
            <v>160.81687555555555</v>
          </cell>
        </row>
        <row r="381">
          <cell r="G381" t="str">
            <v>DERMALABHR-AMINO SG(HD)5</v>
          </cell>
          <cell r="Q381">
            <v>158.5961955555556</v>
          </cell>
        </row>
        <row r="382">
          <cell r="G382" t="str">
            <v>DERMALABHS TKM 245</v>
          </cell>
          <cell r="Q382">
            <v>227.89459555555555</v>
          </cell>
        </row>
        <row r="383">
          <cell r="G383" t="str">
            <v>CODIFHUILE DE BLE NOIR1</v>
          </cell>
          <cell r="Q383">
            <v>1148.2725928</v>
          </cell>
        </row>
        <row r="384">
          <cell r="G384" t="str">
            <v>CODIFHUILE DE CRISTE MARINE1</v>
          </cell>
          <cell r="Q384">
            <v>1736.3320172000001</v>
          </cell>
        </row>
        <row r="385">
          <cell r="G385" t="str">
            <v>CODIFHUILE DE CRISTE MARINE 44</v>
          </cell>
          <cell r="Q385">
            <v>1360.1405440000001</v>
          </cell>
        </row>
        <row r="386">
          <cell r="G386" t="str">
            <v>CODIFHUILE DE DICTYOPTERIS1</v>
          </cell>
          <cell r="Q386">
            <v>1248.1135416000002</v>
          </cell>
        </row>
        <row r="387">
          <cell r="G387" t="str">
            <v>CODIFHUILE DE DICTYOPTERIS 44</v>
          </cell>
          <cell r="Q387">
            <v>1231.0107211999998</v>
          </cell>
        </row>
        <row r="388">
          <cell r="G388" t="str">
            <v>JOYVOHYALURONIC ACID AQUAJUVE OMNI1</v>
          </cell>
          <cell r="Q388">
            <v>1313.0444444444445</v>
          </cell>
        </row>
        <row r="389">
          <cell r="G389" t="str">
            <v>BIOLANDHYALWAX0,1</v>
          </cell>
          <cell r="Q389">
            <v>1307.9929765625002</v>
          </cell>
        </row>
        <row r="390">
          <cell r="G390" t="str">
            <v>BIOLANDHYALWAX0,5</v>
          </cell>
          <cell r="Q390">
            <v>1046.3943812499999</v>
          </cell>
        </row>
        <row r="391">
          <cell r="G391" t="str">
            <v>BIOLANDHYALWAX1</v>
          </cell>
          <cell r="Q391">
            <v>837.1155050000001</v>
          </cell>
        </row>
        <row r="392">
          <cell r="G392" t="str">
            <v>CODIFHYDRANOV P1</v>
          </cell>
          <cell r="Q392">
            <v>193.49878287999999</v>
          </cell>
        </row>
        <row r="393">
          <cell r="G393" t="str">
            <v>CODIFHYDRANOV P5</v>
          </cell>
          <cell r="Q393">
            <v>165.53088800000003</v>
          </cell>
        </row>
        <row r="394">
          <cell r="G394" t="str">
            <v>CODIFHYDRANOV PA1</v>
          </cell>
          <cell r="Q394">
            <v>206.21415347999994</v>
          </cell>
        </row>
        <row r="395">
          <cell r="G395" t="str">
            <v>CODIFHYDRANOV PA5</v>
          </cell>
          <cell r="Q395">
            <v>176.32895480000002</v>
          </cell>
        </row>
        <row r="396">
          <cell r="G396" t="str">
            <v>CODIFHYDRASALINOL 1</v>
          </cell>
          <cell r="Q396">
            <v>2008.6679408819998</v>
          </cell>
        </row>
        <row r="397">
          <cell r="G397" t="str">
            <v>CODIFHYDRASALINOL 4</v>
          </cell>
          <cell r="Q397">
            <v>1704.7882136400001</v>
          </cell>
        </row>
        <row r="398">
          <cell r="G398" t="str">
            <v>CODIFHYDRASALINOL 25</v>
          </cell>
          <cell r="Q398">
            <v>1482.4245336000001</v>
          </cell>
        </row>
        <row r="399">
          <cell r="G399" t="str">
            <v>CODIFHYDROFILTRAT MARINE LOTUS G5</v>
          </cell>
          <cell r="Q399">
            <v>128.57279879999999</v>
          </cell>
        </row>
        <row r="400">
          <cell r="G400" t="str">
            <v>CODIFHYDROFILTRAT MENYANTHES G5</v>
          </cell>
          <cell r="Q400">
            <v>127.18481200000001</v>
          </cell>
        </row>
        <row r="401">
          <cell r="G401" t="str">
            <v>CODIFHYDROFILTRAT STATICE G5</v>
          </cell>
          <cell r="Q401">
            <v>87.286072800000014</v>
          </cell>
        </row>
        <row r="402">
          <cell r="G402" t="str">
            <v>DERMALABHYDROLYZED RICE PROTEIN5</v>
          </cell>
          <cell r="Q402">
            <v>67.865555555555559</v>
          </cell>
        </row>
        <row r="403">
          <cell r="G403" t="str">
            <v>CHEMAXCELHYDROXYAPATITE1</v>
          </cell>
          <cell r="Q403">
            <v>179.62750000000003</v>
          </cell>
        </row>
        <row r="404">
          <cell r="G404" t="str">
            <v>CHEMAXCELHYDROXYAPATITE25</v>
          </cell>
          <cell r="Q404">
            <v>138.17500000000001</v>
          </cell>
        </row>
        <row r="405">
          <cell r="G405" t="str">
            <v>ACTERAHYDROXYSOMES ADENOSINE1</v>
          </cell>
          <cell r="Q405">
            <v>9313.902613146809</v>
          </cell>
        </row>
        <row r="406">
          <cell r="G406" t="str">
            <v>ACTERAHYDROXYSOMES ADENOSINE5</v>
          </cell>
          <cell r="Q406">
            <v>8387.7019796470122</v>
          </cell>
        </row>
        <row r="407">
          <cell r="G407" t="str">
            <v>ACTERAHYDROXYSOMES RETINALDEHYDE0,1</v>
          </cell>
          <cell r="Q407">
            <v>15334.211568923036</v>
          </cell>
        </row>
        <row r="408">
          <cell r="G408" t="str">
            <v>ACTERAHYDROXYSOMES RETINALDEHYDE1</v>
          </cell>
          <cell r="Q408">
            <v>14604.011018021938</v>
          </cell>
        </row>
        <row r="409">
          <cell r="G409" t="str">
            <v>ACTERAHYDROXYSOMES RETINALDEHYDE5</v>
          </cell>
          <cell r="Q409">
            <v>13504.348819686733</v>
          </cell>
        </row>
        <row r="410">
          <cell r="G410" t="str">
            <v>CODIFIDASKIN PDO1</v>
          </cell>
          <cell r="Q410">
            <v>270.71084179999997</v>
          </cell>
        </row>
        <row r="411">
          <cell r="G411" t="str">
            <v>CODIFIDASKIN PDO5</v>
          </cell>
          <cell r="Q411">
            <v>198.67789479999999</v>
          </cell>
        </row>
        <row r="412">
          <cell r="G412" t="str">
            <v>CODIFIDASKIN PDOCH1</v>
          </cell>
          <cell r="Q412">
            <v>270.71084179999997</v>
          </cell>
        </row>
        <row r="413">
          <cell r="G413" t="str">
            <v>CODIFIDASKIN PDOCH5</v>
          </cell>
          <cell r="Q413">
            <v>198.67789479999999</v>
          </cell>
        </row>
        <row r="414">
          <cell r="G414" t="str">
            <v>IC BIOIHP HHA1</v>
          </cell>
          <cell r="Q414">
            <v>2215.4269999999997</v>
          </cell>
        </row>
        <row r="415">
          <cell r="G415" t="str">
            <v>IC BIOIHP SH 1% SOLUTION100</v>
          </cell>
          <cell r="Q415">
            <v>148.73200000000003</v>
          </cell>
        </row>
        <row r="416">
          <cell r="G416" t="str">
            <v>IC BIOIHP SHH1</v>
          </cell>
          <cell r="Q416">
            <v>1738.0735</v>
          </cell>
        </row>
        <row r="417">
          <cell r="G417" t="str">
            <v>IC BIOIHP SHL1</v>
          </cell>
          <cell r="Q417">
            <v>1411.0484999999999</v>
          </cell>
        </row>
        <row r="418">
          <cell r="G418" t="str">
            <v>IC BIOIHP SHM1</v>
          </cell>
          <cell r="Q418">
            <v>1411.0484999999999</v>
          </cell>
        </row>
        <row r="419">
          <cell r="G419" t="str">
            <v>IC BIOIHP SHV1</v>
          </cell>
          <cell r="Q419">
            <v>1738.0735</v>
          </cell>
        </row>
        <row r="420">
          <cell r="G420" t="str">
            <v>IC BIOIHP-HAO (HYALIGO HA)0,1</v>
          </cell>
          <cell r="Q420">
            <v>2870.5482000000002</v>
          </cell>
        </row>
        <row r="421">
          <cell r="G421" t="str">
            <v>IC BIOIHP-HAO (HYALIGO HA)1</v>
          </cell>
          <cell r="Q421">
            <v>2392.1235000000001</v>
          </cell>
        </row>
        <row r="422">
          <cell r="G422" t="str">
            <v>IC BIOILP DPG10</v>
          </cell>
          <cell r="Q422">
            <v>834.19699999999989</v>
          </cell>
        </row>
        <row r="423">
          <cell r="G423" t="str">
            <v>IC BIOILP GAA10</v>
          </cell>
          <cell r="Q423">
            <v>1041.5360000000001</v>
          </cell>
        </row>
        <row r="424">
          <cell r="G424" t="str">
            <v>IC BIOILP GRA10</v>
          </cell>
          <cell r="Q424">
            <v>2009.1179999999999</v>
          </cell>
        </row>
        <row r="425">
          <cell r="G425" t="str">
            <v>IC BIOILP GRS10</v>
          </cell>
          <cell r="Q425">
            <v>2769.0519999999997</v>
          </cell>
        </row>
        <row r="426">
          <cell r="G426" t="str">
            <v>IC BIOILP MAG10</v>
          </cell>
          <cell r="Q426">
            <v>799.64049999999997</v>
          </cell>
        </row>
        <row r="427">
          <cell r="G427" t="str">
            <v>DERMALABINDIAN GOOSEBERRY EXTRACT(HD5</v>
          </cell>
          <cell r="Q427">
            <v>148.12727555555557</v>
          </cell>
        </row>
        <row r="428">
          <cell r="G428" t="str">
            <v>CITROLEOINNOVA BISABOLOL NATURAL1</v>
          </cell>
          <cell r="Q428">
            <v>355.17499999999995</v>
          </cell>
        </row>
        <row r="429">
          <cell r="G429" t="str">
            <v>CITROLEOINNOVA BISABOLOL NATURAL5</v>
          </cell>
          <cell r="Q429">
            <v>284.14</v>
          </cell>
        </row>
        <row r="430">
          <cell r="G430" t="str">
            <v>HOCK CHEMIEINNOVA BN-5 PREMIUM1</v>
          </cell>
          <cell r="Q430">
            <v>193.5555555555556</v>
          </cell>
        </row>
        <row r="431">
          <cell r="G431" t="str">
            <v>HOCK CHEMIEINNOVA BN-5 PREMIUM10</v>
          </cell>
          <cell r="Q431">
            <v>148.88888888888891</v>
          </cell>
        </row>
        <row r="432">
          <cell r="G432" t="str">
            <v>KPTINNOVA CHARCOAL C-F231</v>
          </cell>
          <cell r="Q432">
            <v>283.11111111111114</v>
          </cell>
        </row>
        <row r="433">
          <cell r="G433" t="str">
            <v>KPTINNOVA CHARCOAL C-F235</v>
          </cell>
          <cell r="Q433">
            <v>231.11111111111114</v>
          </cell>
        </row>
        <row r="434">
          <cell r="G434" t="str">
            <v>KPTINNOVA CHARCOAL C-S 02065</v>
          </cell>
          <cell r="Q434">
            <v>108.8888888888889</v>
          </cell>
        </row>
        <row r="435">
          <cell r="G435" t="str">
            <v>KPTINNOVA CHARCOAL F-795</v>
          </cell>
          <cell r="Q435">
            <v>291.66666666666669</v>
          </cell>
        </row>
        <row r="436">
          <cell r="G436" t="str">
            <v>KPTINNOVA CHARCOAL F-7920</v>
          </cell>
          <cell r="Q436">
            <v>233.33333333333334</v>
          </cell>
        </row>
        <row r="437">
          <cell r="G437" t="str">
            <v>KPTINNOVA CHARCOAL POWDER 2001</v>
          </cell>
          <cell r="Q437">
            <v>172.25</v>
          </cell>
        </row>
        <row r="438">
          <cell r="G438" t="str">
            <v>KPTINNOVA CHARCOAL POWDER 20020</v>
          </cell>
          <cell r="Q438">
            <v>132.5</v>
          </cell>
        </row>
        <row r="439">
          <cell r="G439" t="str">
            <v>CHEMLANDINNOVA MPE25</v>
          </cell>
          <cell r="Q439">
            <v>318.13333333333333</v>
          </cell>
        </row>
        <row r="440">
          <cell r="G440" t="str">
            <v>CHEMLANDINNOVA POWDER TONE-UP CREAM0,4</v>
          </cell>
          <cell r="Q440">
            <v>309.375</v>
          </cell>
        </row>
        <row r="441">
          <cell r="G441" t="str">
            <v>CHEMLANDINNOVA POWDER TONE-UP CREAM4</v>
          </cell>
          <cell r="Q441">
            <v>247.5</v>
          </cell>
        </row>
        <row r="442">
          <cell r="G442" t="str">
            <v>COMPOMATINNOVA SCRUB APRICOT1</v>
          </cell>
          <cell r="Q442">
            <v>18.678000000000001</v>
          </cell>
        </row>
        <row r="443">
          <cell r="G443" t="str">
            <v>COMPOMATINNOVA SCRUB APRICOT5</v>
          </cell>
          <cell r="Q443">
            <v>16.98</v>
          </cell>
        </row>
        <row r="444">
          <cell r="G444" t="str">
            <v>COMPOMATINNOVA SCRUB APRICOT25</v>
          </cell>
          <cell r="Q444">
            <v>15.436363636363636</v>
          </cell>
        </row>
        <row r="445">
          <cell r="G445" t="str">
            <v>COMPOMATINNOVA SCRUB TAGUA1</v>
          </cell>
          <cell r="Q445">
            <v>39.380000000000003</v>
          </cell>
        </row>
        <row r="446">
          <cell r="G446" t="str">
            <v>COMPOMATINNOVA SCRUB TAGUA5</v>
          </cell>
          <cell r="Q446">
            <v>35.799999999999997</v>
          </cell>
        </row>
        <row r="447">
          <cell r="G447" t="str">
            <v>COMPOMATINNOVA SCRUB TAGUA25</v>
          </cell>
          <cell r="Q447">
            <v>32.54545454545454</v>
          </cell>
        </row>
        <row r="448">
          <cell r="G448" t="str">
            <v>ECO-SHELLINNOVA SCRUB WALNUT1</v>
          </cell>
          <cell r="Q448">
            <v>12.078000000000001</v>
          </cell>
        </row>
        <row r="449">
          <cell r="G449" t="str">
            <v>ECO-SHELLINNOVA SCRUB WALNUT5</v>
          </cell>
          <cell r="Q449">
            <v>10.979999999999999</v>
          </cell>
        </row>
        <row r="450">
          <cell r="G450" t="str">
            <v>ECO-SHELLINNOVA SCRUB WALNUT25</v>
          </cell>
          <cell r="Q450">
            <v>9.9818181818181806</v>
          </cell>
        </row>
        <row r="451">
          <cell r="G451" t="str">
            <v>HOCK CHEMIEINNOVA SERICITE M510</v>
          </cell>
          <cell r="Q451">
            <v>19.644444444444446</v>
          </cell>
        </row>
        <row r="452">
          <cell r="G452" t="str">
            <v>HOCK CHEMIEINNOVA SERICITE M5100</v>
          </cell>
          <cell r="Q452">
            <v>15.111111111111112</v>
          </cell>
        </row>
        <row r="453">
          <cell r="G453" t="str">
            <v>KPTINNOVA SPHERE F5-BL451</v>
          </cell>
          <cell r="Q453">
            <v>288.88888888888891</v>
          </cell>
        </row>
        <row r="454">
          <cell r="G454" t="str">
            <v>KPTINNOVA SPHERE F5-BL455</v>
          </cell>
          <cell r="Q454">
            <v>217.7777777777778</v>
          </cell>
        </row>
        <row r="455">
          <cell r="G455" t="str">
            <v>KPTINNOVA SPHERE F5-BL45HA1</v>
          </cell>
          <cell r="Q455">
            <v>288.88888888888891</v>
          </cell>
        </row>
        <row r="456">
          <cell r="G456" t="str">
            <v>KPTINNOVA SPHERE F5-BL45HA5</v>
          </cell>
          <cell r="Q456">
            <v>217.7777777777778</v>
          </cell>
        </row>
        <row r="457">
          <cell r="G457" t="str">
            <v>KPTINNOVA SPHERE F5-WH565</v>
          </cell>
          <cell r="Q457">
            <v>217.7777777777778</v>
          </cell>
        </row>
        <row r="458">
          <cell r="G458" t="str">
            <v>KPTINNOVA SPHERE P5-BK121</v>
          </cell>
          <cell r="Q458">
            <v>288.88888888888891</v>
          </cell>
        </row>
        <row r="459">
          <cell r="G459" t="str">
            <v>KPTINNOVA SPHERE P5-BK125</v>
          </cell>
          <cell r="Q459">
            <v>217.7777777777778</v>
          </cell>
        </row>
        <row r="460">
          <cell r="G460" t="str">
            <v>KPTINNOVA SPHERE P5-GO121</v>
          </cell>
          <cell r="Q460">
            <v>288.88888888888891</v>
          </cell>
        </row>
        <row r="461">
          <cell r="G461" t="str">
            <v>KPTINNOVA SPHERE P5-GO125</v>
          </cell>
          <cell r="Q461">
            <v>217.7777777777778</v>
          </cell>
        </row>
        <row r="462">
          <cell r="G462" t="str">
            <v>KPTINNOVA SPHERE P5-GO12PPG1</v>
          </cell>
          <cell r="Q462">
            <v>288.88888888888891</v>
          </cell>
        </row>
        <row r="463">
          <cell r="G463" t="str">
            <v>KPTINNOVA SPHERE P5-GO12PPG5</v>
          </cell>
          <cell r="Q463">
            <v>217.7777777777778</v>
          </cell>
        </row>
        <row r="464">
          <cell r="G464" t="str">
            <v>KPTINNOVA SPHERE P5-PI121</v>
          </cell>
          <cell r="Q464">
            <v>288.88888888888891</v>
          </cell>
        </row>
        <row r="465">
          <cell r="G465" t="str">
            <v>KPTINNOVA SPHERE P5-PI125</v>
          </cell>
          <cell r="Q465">
            <v>217.7777777777778</v>
          </cell>
        </row>
        <row r="466">
          <cell r="G466" t="str">
            <v>KPTINNOVA SPHERE P5-RE121</v>
          </cell>
          <cell r="Q466">
            <v>288.88888888888891</v>
          </cell>
        </row>
        <row r="467">
          <cell r="G467" t="str">
            <v>KPTINNOVA SPHERE P5-RE125</v>
          </cell>
          <cell r="Q467">
            <v>217.7777777777778</v>
          </cell>
        </row>
        <row r="468">
          <cell r="G468" t="str">
            <v>KPTINNOVA SPHERE P5-VI121</v>
          </cell>
          <cell r="Q468">
            <v>288.88888888888891</v>
          </cell>
        </row>
        <row r="469">
          <cell r="G469" t="str">
            <v>KPTINNOVA SPHERE P5-VI125</v>
          </cell>
          <cell r="Q469">
            <v>217.7777777777778</v>
          </cell>
        </row>
        <row r="470">
          <cell r="G470" t="str">
            <v>KPTINNOVA SPHERE S5-BK451</v>
          </cell>
          <cell r="Q470">
            <v>288.88888888888891</v>
          </cell>
        </row>
        <row r="471">
          <cell r="G471" t="str">
            <v>KPTINNOVA SPHERE S5-BK455</v>
          </cell>
          <cell r="Q471">
            <v>217.7777777777778</v>
          </cell>
        </row>
        <row r="472">
          <cell r="G472" t="str">
            <v>KPTINNOVA SPHERE S5-JA451</v>
          </cell>
          <cell r="Q472">
            <v>288.88888888888891</v>
          </cell>
        </row>
        <row r="473">
          <cell r="G473" t="str">
            <v>KPTINNOVA SPHERE S5-JA455</v>
          </cell>
          <cell r="Q473">
            <v>217.7777777777778</v>
          </cell>
        </row>
        <row r="474">
          <cell r="G474" t="str">
            <v>KPTINNOVA SPHERE T5-JA34CA30N1</v>
          </cell>
          <cell r="Q474">
            <v>733.33333333333337</v>
          </cell>
        </row>
        <row r="475">
          <cell r="G475" t="str">
            <v>KPTINNOVA SP-RA4-SV3545A5</v>
          </cell>
          <cell r="Q475">
            <v>217.7777777777778</v>
          </cell>
        </row>
        <row r="476">
          <cell r="G476" t="str">
            <v>CHEMAXCELINNOVASENSE COOL FEEL1</v>
          </cell>
          <cell r="Q476">
            <v>480.9375</v>
          </cell>
        </row>
        <row r="477">
          <cell r="G477" t="str">
            <v>CHEMAXCELINNOVASENSE COOL FEEL5</v>
          </cell>
          <cell r="Q477">
            <v>353.125</v>
          </cell>
        </row>
        <row r="478">
          <cell r="G478" t="str">
            <v>CHEMAXCELINNOVASENSE HOT FEEL1</v>
          </cell>
          <cell r="Q478">
            <v>515.48281249999991</v>
          </cell>
        </row>
        <row r="479">
          <cell r="G479" t="str">
            <v>CHEMAXCELINNOVASENSE HOT FEEL25</v>
          </cell>
          <cell r="Q479">
            <v>379.8125</v>
          </cell>
        </row>
        <row r="480">
          <cell r="G480" t="str">
            <v>DERMALABITCH BYE(GHD)5</v>
          </cell>
          <cell r="Q480">
            <v>148.12727555555557</v>
          </cell>
        </row>
        <row r="481">
          <cell r="G481" t="str">
            <v>DERMALABITCH BYE(PD)5</v>
          </cell>
          <cell r="Q481">
            <v>154.78931555555556</v>
          </cell>
        </row>
        <row r="482">
          <cell r="G482" t="str">
            <v>BIOLANDJASMINE EXTRACT10</v>
          </cell>
          <cell r="Q482">
            <v>149.48750499999997</v>
          </cell>
        </row>
        <row r="483">
          <cell r="G483" t="str">
            <v>CODIFJ-DERMIST1</v>
          </cell>
          <cell r="Q483">
            <v>364.53404443999995</v>
          </cell>
        </row>
        <row r="484">
          <cell r="G484" t="str">
            <v>CODIFJ-DERMIST5</v>
          </cell>
          <cell r="Q484">
            <v>284.92127800000003</v>
          </cell>
        </row>
        <row r="485">
          <cell r="G485" t="str">
            <v>BIOLANDJEJU CITRUS AHA PLUS5</v>
          </cell>
          <cell r="Q485">
            <v>801.63200499999994</v>
          </cell>
        </row>
        <row r="486">
          <cell r="G486" t="str">
            <v>DERMALABJEJU LOTUS LEAF EXTRACT(HD)5</v>
          </cell>
          <cell r="Q486">
            <v>67.865555555555559</v>
          </cell>
        </row>
        <row r="487">
          <cell r="G487" t="str">
            <v>BIOLANDJEJU TANGERINE EXTRACT5</v>
          </cell>
          <cell r="Q487">
            <v>192.43850499999999</v>
          </cell>
        </row>
        <row r="488">
          <cell r="G488" t="str">
            <v>BIOLANDJEJU VOLCANIC ASH10</v>
          </cell>
          <cell r="Q488">
            <v>254.54750500000003</v>
          </cell>
        </row>
        <row r="489">
          <cell r="G489" t="str">
            <v>DERMALABJELLY FISH EXTRACT(HD)5</v>
          </cell>
          <cell r="Q489">
            <v>135.43767555555556</v>
          </cell>
        </row>
        <row r="490">
          <cell r="G490" t="str">
            <v>BIOLANDJMSW ED1</v>
          </cell>
          <cell r="Q490">
            <v>176.60539649999998</v>
          </cell>
        </row>
        <row r="491">
          <cell r="G491" t="str">
            <v>BIOLANDJMSW ED5</v>
          </cell>
          <cell r="Q491">
            <v>135.85030499999999</v>
          </cell>
        </row>
        <row r="492">
          <cell r="G492" t="str">
            <v>DERMALABKAKADU PLUM EXTRACT(HD)5</v>
          </cell>
          <cell r="Q492">
            <v>65.393555555555565</v>
          </cell>
        </row>
        <row r="493">
          <cell r="G493" t="str">
            <v>DERMALABKELP EXTRACT-DL5</v>
          </cell>
          <cell r="Q493">
            <v>93.74739555555557</v>
          </cell>
        </row>
        <row r="494">
          <cell r="G494" t="str">
            <v>SPEC CHEMKOJIC ACID1</v>
          </cell>
          <cell r="Q494">
            <v>96.2</v>
          </cell>
        </row>
        <row r="495">
          <cell r="G495" t="str">
            <v>SPEC CHEMKOJIC ACID25</v>
          </cell>
          <cell r="Q495">
            <v>48</v>
          </cell>
        </row>
        <row r="496">
          <cell r="G496" t="str">
            <v>SPEC CHEMKOJIC ACID DIPALMITATE1</v>
          </cell>
          <cell r="Q496">
            <v>211.30199999999999</v>
          </cell>
        </row>
        <row r="497">
          <cell r="G497" t="str">
            <v>SPEC CHEMKOJIC ACID DIPALMITATE25</v>
          </cell>
          <cell r="Q497">
            <v>143.18</v>
          </cell>
        </row>
        <row r="498">
          <cell r="G498" t="str">
            <v>SPEC CHEMLACTOBIONIC ACID1</v>
          </cell>
          <cell r="Q498">
            <v>517.65</v>
          </cell>
        </row>
        <row r="499">
          <cell r="G499" t="str">
            <v>SPEC CHEMLACTOBIONIC ACID25</v>
          </cell>
          <cell r="Q499">
            <v>384.88</v>
          </cell>
        </row>
        <row r="500">
          <cell r="G500" t="str">
            <v>BIOLANDLACTOPEACH1</v>
          </cell>
          <cell r="Q500">
            <v>311.81768345000006</v>
          </cell>
        </row>
        <row r="501">
          <cell r="G501" t="str">
            <v>BIOLANDLACTOPEACH5</v>
          </cell>
          <cell r="Q501">
            <v>239.85975650000003</v>
          </cell>
        </row>
        <row r="502">
          <cell r="G502" t="str">
            <v>BIOLANDLACTOPEACH20</v>
          </cell>
          <cell r="Q502">
            <v>184.50750500000001</v>
          </cell>
        </row>
        <row r="503">
          <cell r="G503" t="str">
            <v>CODIFLAKESIS0,1</v>
          </cell>
          <cell r="Q503">
            <v>2893.0745499999994</v>
          </cell>
        </row>
        <row r="504">
          <cell r="G504" t="str">
            <v>CODIFLAKESIS0,4</v>
          </cell>
          <cell r="Q504">
            <v>2515.7177371499997</v>
          </cell>
        </row>
        <row r="505">
          <cell r="G505" t="str">
            <v>CODIFLAKESIS1</v>
          </cell>
          <cell r="Q505">
            <v>2081.8701548000004</v>
          </cell>
        </row>
        <row r="506">
          <cell r="G506" t="str">
            <v>BIOLANDLAVA-DERMABIOTICS HDB 1234 GN5</v>
          </cell>
          <cell r="Q506">
            <v>334.80510499999997</v>
          </cell>
        </row>
        <row r="507">
          <cell r="G507" t="str">
            <v>BIOLANDLAVENDER EXTRACT5</v>
          </cell>
          <cell r="Q507">
            <v>163.16075499999999</v>
          </cell>
        </row>
        <row r="508">
          <cell r="G508" t="str">
            <v>DERMALABLAVER EXTRACT-DL5</v>
          </cell>
          <cell r="Q508">
            <v>108.99139555555556</v>
          </cell>
        </row>
        <row r="509">
          <cell r="G509" t="str">
            <v>BIOLANDLEMON EXTRACT20</v>
          </cell>
          <cell r="Q509">
            <v>177.34900500000001</v>
          </cell>
        </row>
        <row r="510">
          <cell r="G510" t="str">
            <v>DERMALABLEMON EXTRACT(HD)5</v>
          </cell>
          <cell r="Q510">
            <v>109.93157955555554</v>
          </cell>
        </row>
        <row r="511">
          <cell r="G511" t="str">
            <v>BIOLANDLEMONGRASS EXTRACT10</v>
          </cell>
          <cell r="Q511">
            <v>178.12150500000001</v>
          </cell>
        </row>
        <row r="512">
          <cell r="G512" t="str">
            <v>BIOLANDLICORICE EXTRACT1</v>
          </cell>
          <cell r="Q512">
            <v>211.4193965</v>
          </cell>
        </row>
        <row r="513">
          <cell r="G513" t="str">
            <v>BIOLANDLICORICE EXTRACT5</v>
          </cell>
          <cell r="Q513">
            <v>162.63030499999999</v>
          </cell>
        </row>
        <row r="514">
          <cell r="G514" t="str">
            <v>NORMACTIVELIPSTHICK1</v>
          </cell>
          <cell r="Q514">
            <v>1144.9431818181815</v>
          </cell>
        </row>
        <row r="515">
          <cell r="G515" t="str">
            <v>NORMACTIVELIPSTHICK5</v>
          </cell>
          <cell r="Q515">
            <v>802.27272727272725</v>
          </cell>
        </row>
        <row r="516">
          <cell r="G516" t="str">
            <v>NORMACTIVELIPSTHICK25</v>
          </cell>
          <cell r="Q516">
            <v>603.90909090909076</v>
          </cell>
        </row>
        <row r="517">
          <cell r="G517" t="str">
            <v>BIOLANDLOTUS EXTRACT-DL5</v>
          </cell>
          <cell r="Q517">
            <v>147.769465</v>
          </cell>
        </row>
        <row r="518">
          <cell r="G518" t="str">
            <v>DERMALABLOTUS EXTRACT-DL5</v>
          </cell>
          <cell r="Q518">
            <v>124.54027555555557</v>
          </cell>
        </row>
        <row r="519">
          <cell r="G519" t="str">
            <v>DERMALABLUISANT MELA X5</v>
          </cell>
          <cell r="Q519">
            <v>269.0533955555556</v>
          </cell>
        </row>
        <row r="520">
          <cell r="G520" t="str">
            <v>DERMALABLUISANT MELA X(HD)5</v>
          </cell>
          <cell r="Q520">
            <v>270.88267555555564</v>
          </cell>
        </row>
        <row r="521">
          <cell r="G521" t="str">
            <v>DERMALABMAGIC RED SAP5</v>
          </cell>
          <cell r="Q521">
            <v>144.05259555555557</v>
          </cell>
        </row>
        <row r="522">
          <cell r="G522" t="str">
            <v>CHEMAXCELMAGNESIUM ASCORBYL PHOSPHATE1</v>
          </cell>
          <cell r="Q522">
            <v>315.82499999999999</v>
          </cell>
        </row>
        <row r="523">
          <cell r="G523" t="str">
            <v>BIOLANDMAGNOLIA EXTACT1</v>
          </cell>
          <cell r="Q523">
            <v>335.60850499999998</v>
          </cell>
        </row>
        <row r="524">
          <cell r="G524" t="str">
            <v>BIOLANDMAGNOSCENCE20</v>
          </cell>
          <cell r="Q524">
            <v>183.024305</v>
          </cell>
        </row>
        <row r="525">
          <cell r="G525" t="str">
            <v>SPEC CHEMMALIC ACID25</v>
          </cell>
          <cell r="Q525">
            <v>118.76</v>
          </cell>
        </row>
        <row r="526">
          <cell r="G526" t="str">
            <v>SPEC CHEMMALTOBIONIC ACID1</v>
          </cell>
          <cell r="Q526">
            <v>859.80000000000007</v>
          </cell>
        </row>
        <row r="527">
          <cell r="G527" t="str">
            <v>SPEC CHEMMALTOBIONIC ACID5</v>
          </cell>
          <cell r="Q527">
            <v>647.46</v>
          </cell>
        </row>
        <row r="528">
          <cell r="G528" t="str">
            <v>SPEC CHEMMANDELIC ACID1</v>
          </cell>
          <cell r="Q528">
            <v>93.762457359999999</v>
          </cell>
        </row>
        <row r="529">
          <cell r="G529" t="str">
            <v>SPEC CHEMMANDELIC ACID5</v>
          </cell>
          <cell r="Q529">
            <v>72.123999999999995</v>
          </cell>
        </row>
        <row r="530">
          <cell r="G530" t="str">
            <v>SPEC CHEMMANDELIC ACID25</v>
          </cell>
          <cell r="Q530">
            <v>55.480743999999994</v>
          </cell>
        </row>
        <row r="531">
          <cell r="G531" t="str">
            <v>MPRMANTEIGA DE ABACATE27</v>
          </cell>
          <cell r="Q531">
            <v>12.725088641711229</v>
          </cell>
        </row>
        <row r="532">
          <cell r="G532" t="str">
            <v>MPRMANTEIGA DE AMENDOAS27</v>
          </cell>
          <cell r="Q532">
            <v>11.87938588235294</v>
          </cell>
        </row>
        <row r="533">
          <cell r="G533" t="str">
            <v>MPRMANTEIGA DE ARGAN27</v>
          </cell>
          <cell r="Q533">
            <v>35.343074310160425</v>
          </cell>
        </row>
        <row r="534">
          <cell r="G534" t="str">
            <v>MPRMANTEIGA DE CEREAIS - VEGESOL27</v>
          </cell>
          <cell r="Q534">
            <v>11.511292235294119</v>
          </cell>
        </row>
        <row r="535">
          <cell r="G535" t="str">
            <v>MPRMANTEIGA DE COCO27</v>
          </cell>
          <cell r="Q535">
            <v>12.186637604278076</v>
          </cell>
        </row>
        <row r="536">
          <cell r="G536" t="str">
            <v>MPRMANTEIGA DE KARITE27</v>
          </cell>
          <cell r="Q536">
            <v>12.433047401069517</v>
          </cell>
        </row>
        <row r="537">
          <cell r="G537" t="str">
            <v>MPRMANTEIGA DE MANGA27</v>
          </cell>
          <cell r="Q537">
            <v>12.907614417112299</v>
          </cell>
        </row>
        <row r="538">
          <cell r="G538" t="str">
            <v>MPRMANTEIGA DE OLIVA27</v>
          </cell>
          <cell r="Q538">
            <v>10.908957176470588</v>
          </cell>
        </row>
        <row r="539">
          <cell r="G539" t="str">
            <v>MPRMANTEIGA DE PESSEGO27</v>
          </cell>
          <cell r="Q539">
            <v>10.872452021390375</v>
          </cell>
        </row>
        <row r="540">
          <cell r="G540" t="str">
            <v>DERMALABMAQUI ORAC 30005</v>
          </cell>
          <cell r="Q540">
            <v>176.06499555555558</v>
          </cell>
        </row>
        <row r="541">
          <cell r="G541" t="str">
            <v>IC BIOMARINE GEL20</v>
          </cell>
          <cell r="Q541">
            <v>170.19720000000001</v>
          </cell>
        </row>
        <row r="542">
          <cell r="G542" t="str">
            <v>IC BIOMARINE KERATINASE20</v>
          </cell>
          <cell r="Q542">
            <v>310.39050000000003</v>
          </cell>
        </row>
        <row r="543">
          <cell r="G543" t="str">
            <v>DERMALABMARSHMALLOW EXTRACT DL5</v>
          </cell>
          <cell r="Q543">
            <v>165.88888888888891</v>
          </cell>
        </row>
        <row r="544">
          <cell r="G544" t="str">
            <v>CODIFMATRIGENICS 14G1</v>
          </cell>
          <cell r="Q544">
            <v>222.14894769999995</v>
          </cell>
        </row>
        <row r="545">
          <cell r="G545" t="str">
            <v>CODIFMATRIGENICS 14G5</v>
          </cell>
          <cell r="Q545">
            <v>189.87947</v>
          </cell>
        </row>
        <row r="546">
          <cell r="G546" t="str">
            <v>CODIFMATRIGENICS4 GP1</v>
          </cell>
          <cell r="Q546">
            <v>225.12488549999995</v>
          </cell>
        </row>
        <row r="547">
          <cell r="G547" t="str">
            <v>CODIFMATRIGENICS4 GP5</v>
          </cell>
          <cell r="Q547">
            <v>192.37314119999999</v>
          </cell>
        </row>
        <row r="548">
          <cell r="G548" t="str">
            <v>MICRO POWDERSMATTEWAX 51125</v>
          </cell>
          <cell r="Q548">
            <v>52.433592000000004</v>
          </cell>
        </row>
        <row r="549">
          <cell r="G549" t="str">
            <v>MICRO POWDERSMATTEWAX 51155</v>
          </cell>
          <cell r="Q549">
            <v>44.914741818181824</v>
          </cell>
        </row>
        <row r="550">
          <cell r="G550" t="str">
            <v>SPEC CHEMMELATONIN1</v>
          </cell>
          <cell r="Q550">
            <v>622</v>
          </cell>
        </row>
        <row r="551">
          <cell r="G551" t="str">
            <v>IC BIOMETAOIL MORINGA20</v>
          </cell>
          <cell r="Q551">
            <v>407.57099999999997</v>
          </cell>
        </row>
        <row r="552">
          <cell r="G552" t="str">
            <v>IC BIOMETAOIL OLIVE20</v>
          </cell>
          <cell r="Q552">
            <v>178.08700000000002</v>
          </cell>
        </row>
        <row r="553">
          <cell r="G553" t="str">
            <v>IC BIOMETAOILC MORINGA20</v>
          </cell>
          <cell r="Q553">
            <v>348.346</v>
          </cell>
        </row>
        <row r="554">
          <cell r="G554" t="str">
            <v>MICRO POWDERSMICROCARE 32525</v>
          </cell>
          <cell r="Q554">
            <v>55.679739999999995</v>
          </cell>
        </row>
        <row r="555">
          <cell r="G555" t="str">
            <v>MICRO POWDERSMICROCARE 32555</v>
          </cell>
          <cell r="Q555">
            <v>47.939945454545452</v>
          </cell>
        </row>
        <row r="556">
          <cell r="G556" t="str">
            <v>MICRO POWDERSMICROCARE 3501</v>
          </cell>
          <cell r="Q556">
            <v>92.777064600000017</v>
          </cell>
        </row>
        <row r="557">
          <cell r="G557" t="str">
            <v>MICRO POWDERSMICROCARE 3505</v>
          </cell>
          <cell r="Q557">
            <v>84.342786000000004</v>
          </cell>
        </row>
        <row r="558">
          <cell r="G558" t="str">
            <v>MICRO POWDERSMICROCARE 35025</v>
          </cell>
          <cell r="Q558">
            <v>76.675260000000009</v>
          </cell>
        </row>
        <row r="559">
          <cell r="G559" t="str">
            <v>MICRO POWDERSMICROCARE 35055</v>
          </cell>
          <cell r="Q559">
            <v>69.704781818181814</v>
          </cell>
        </row>
        <row r="560">
          <cell r="G560" t="str">
            <v>MICRO POWDERSMICROCARE 350S25</v>
          </cell>
          <cell r="Q560">
            <v>133.04715999999999</v>
          </cell>
        </row>
        <row r="561">
          <cell r="G561" t="str">
            <v>MICRO POWDERSMICROCARE 350S55</v>
          </cell>
          <cell r="Q561">
            <v>118.27396363636363</v>
          </cell>
        </row>
        <row r="562">
          <cell r="G562" t="str">
            <v>MICRO POWDERSMICROCARE 73025</v>
          </cell>
          <cell r="Q562">
            <v>72.524359999999987</v>
          </cell>
        </row>
        <row r="563">
          <cell r="G563" t="str">
            <v>MICRO POWDERSMICROCARE 73055</v>
          </cell>
          <cell r="Q563">
            <v>63.179076363636369</v>
          </cell>
        </row>
        <row r="564">
          <cell r="G564" t="str">
            <v>MICRO POWDERSMICROEASE 110S25</v>
          </cell>
          <cell r="Q564">
            <v>34.657439999999994</v>
          </cell>
        </row>
        <row r="565">
          <cell r="G565" t="str">
            <v>MICRO POWDERSMICROEASE 110S70</v>
          </cell>
          <cell r="Q565">
            <v>28.828763636363636</v>
          </cell>
        </row>
        <row r="566">
          <cell r="G566" t="str">
            <v>MICRO POWDERSMICROEASE 110XF55</v>
          </cell>
          <cell r="Q566">
            <v>26.783745454545446</v>
          </cell>
        </row>
        <row r="567">
          <cell r="G567" t="str">
            <v>MICRO POWDERSMICROEASE 11325</v>
          </cell>
          <cell r="Q567">
            <v>41.363564000000004</v>
          </cell>
        </row>
        <row r="568">
          <cell r="G568" t="str">
            <v>MICRO POWDERSMICROEASE 113225</v>
          </cell>
          <cell r="Q568">
            <v>37.60324</v>
          </cell>
        </row>
        <row r="569">
          <cell r="G569" t="str">
            <v>MICRO POWDERSMICROEASE 113270</v>
          </cell>
          <cell r="Q569">
            <v>31.50676363636363</v>
          </cell>
        </row>
        <row r="570">
          <cell r="G570" t="str">
            <v>MICRO POWDERSMICROEASE 114S5</v>
          </cell>
          <cell r="Q570">
            <v>39.419336000000001</v>
          </cell>
        </row>
        <row r="571">
          <cell r="G571" t="str">
            <v>MICRO POWDERSMICROEASE 114S25</v>
          </cell>
          <cell r="Q571">
            <v>35.835760000000001</v>
          </cell>
        </row>
        <row r="572">
          <cell r="G572" t="str">
            <v>MICRO POWDERSMICROEASE 114S70</v>
          </cell>
          <cell r="Q572">
            <v>29.899963636363637</v>
          </cell>
        </row>
        <row r="573">
          <cell r="G573" t="str">
            <v>MICRO POWDERSMICROGREEN 502525</v>
          </cell>
          <cell r="Q573">
            <v>56.453476000000009</v>
          </cell>
        </row>
        <row r="574">
          <cell r="G574" t="str">
            <v>MICRO POWDERSMICROGREEN 502570</v>
          </cell>
          <cell r="Q574">
            <v>48.828741818181811</v>
          </cell>
        </row>
        <row r="575">
          <cell r="G575" t="str">
            <v>MICRO POWDERSMICROPOLY 1160S25</v>
          </cell>
          <cell r="Q575">
            <v>103.04581440000001</v>
          </cell>
        </row>
        <row r="576">
          <cell r="G576" t="str">
            <v>MICRO POWDERSMICROPOLY 1160S70</v>
          </cell>
          <cell r="Q576">
            <v>90.925853090909072</v>
          </cell>
        </row>
        <row r="577">
          <cell r="G577" t="str">
            <v>MICRO POWDERSMICROPOLY 20025</v>
          </cell>
          <cell r="Q577">
            <v>44.479849599999994</v>
          </cell>
        </row>
        <row r="578">
          <cell r="G578" t="str">
            <v>MICRO POWDERSMICROPOLY 20055</v>
          </cell>
          <cell r="Q578">
            <v>37.684066909090895</v>
          </cell>
        </row>
        <row r="579">
          <cell r="G579" t="str">
            <v>MICRO POWDERSMICROPOLY 204 25</v>
          </cell>
          <cell r="Q579">
            <v>43.093140000000005</v>
          </cell>
        </row>
        <row r="580">
          <cell r="G580" t="str">
            <v>MICRO POWDERSMICROPOLY 204 70</v>
          </cell>
          <cell r="Q580">
            <v>36.497581818181807</v>
          </cell>
        </row>
        <row r="581">
          <cell r="G581" t="str">
            <v>MICRO POWDERSMICROPOLY 22025</v>
          </cell>
          <cell r="Q581">
            <v>49.461259200000001</v>
          </cell>
        </row>
        <row r="582">
          <cell r="G582" t="str">
            <v>MICRO POWDERSMICROPOLY 22055</v>
          </cell>
          <cell r="Q582">
            <v>42.212621090909089</v>
          </cell>
        </row>
        <row r="583">
          <cell r="G583" t="str">
            <v>MICRO POWDERSMICROPOLY 220L25</v>
          </cell>
          <cell r="Q583">
            <v>44.727543999999995</v>
          </cell>
        </row>
        <row r="584">
          <cell r="G584" t="str">
            <v>MICRO POWDERSMICROPOLY 220L70</v>
          </cell>
          <cell r="Q584">
            <v>37.909243636363634</v>
          </cell>
        </row>
        <row r="585">
          <cell r="G585" t="str">
            <v>MICRO POWDERSMICROPOLY 250S25</v>
          </cell>
          <cell r="Q585">
            <v>153.24521279999999</v>
          </cell>
        </row>
        <row r="586">
          <cell r="G586" t="str">
            <v>MICRO POWDERSMICROPOLY 250S55</v>
          </cell>
          <cell r="Q586">
            <v>136.5616698181818</v>
          </cell>
        </row>
        <row r="587">
          <cell r="G587" t="str">
            <v>MICRO POWDERSMICROPOLY 403970</v>
          </cell>
          <cell r="Q587">
            <v>35.368701818181812</v>
          </cell>
        </row>
        <row r="588">
          <cell r="G588" t="str">
            <v>MICRO POWDERSMICROPOLY 40395</v>
          </cell>
          <cell r="Q588">
            <v>38.9</v>
          </cell>
        </row>
        <row r="589">
          <cell r="G589" t="str">
            <v>MICRO POWDERSMICROPOLY 40495</v>
          </cell>
          <cell r="Q589">
            <v>48.053413999999997</v>
          </cell>
        </row>
        <row r="590">
          <cell r="G590" t="str">
            <v>MICRO POWDERSMICROPOLY 404925</v>
          </cell>
          <cell r="Q590">
            <v>43.684921818181813</v>
          </cell>
        </row>
        <row r="591">
          <cell r="G591" t="str">
            <v>MICRO POWDERSMICROSCRUB 100PC25</v>
          </cell>
          <cell r="Q591">
            <v>43.764287999999993</v>
          </cell>
        </row>
        <row r="592">
          <cell r="G592" t="str">
            <v>MICRO POWDERSMICROSCRUB 100PC55</v>
          </cell>
          <cell r="Q592">
            <v>37.033556363636357</v>
          </cell>
        </row>
        <row r="593">
          <cell r="G593" t="str">
            <v>MICRO POWDERSMICROSCRUB 1435PC25</v>
          </cell>
          <cell r="Q593">
            <v>32.3153024</v>
          </cell>
        </row>
        <row r="594">
          <cell r="G594" t="str">
            <v>MICRO POWDERSMICROSCRUB 1435PC70</v>
          </cell>
          <cell r="Q594">
            <v>26.625387636363634</v>
          </cell>
        </row>
        <row r="595">
          <cell r="G595" t="str">
            <v>MICRO POWDERSMICROSCRUB 20PC25</v>
          </cell>
          <cell r="Q595">
            <v>25.957812800000003</v>
          </cell>
        </row>
        <row r="596">
          <cell r="G596" t="str">
            <v>MICRO POWDERSMICROSCRUB 20PC70</v>
          </cell>
          <cell r="Q596">
            <v>20.845851636363641</v>
          </cell>
        </row>
        <row r="597">
          <cell r="G597" t="str">
            <v>MICRO POWDERSMICROSCRUB 35PC25</v>
          </cell>
          <cell r="Q597">
            <v>28.379713600000002</v>
          </cell>
        </row>
        <row r="598">
          <cell r="G598" t="str">
            <v>MICRO POWDERSMICROSCRUB 35PC70</v>
          </cell>
          <cell r="Q598">
            <v>23.047579636363636</v>
          </cell>
        </row>
        <row r="599">
          <cell r="G599" t="str">
            <v>MICRO POWDERSMICROSCRUB 50PC25</v>
          </cell>
          <cell r="Q599">
            <v>30.141095999999997</v>
          </cell>
        </row>
        <row r="600">
          <cell r="G600" t="str">
            <v>MICRO POWDERSMICROSCRUB 50PC70</v>
          </cell>
          <cell r="Q600">
            <v>24.648836363636363</v>
          </cell>
        </row>
        <row r="601">
          <cell r="G601" t="str">
            <v>MICRO POWDERSMICROSCRUB 80PC25</v>
          </cell>
          <cell r="Q601">
            <v>35.78302399999999</v>
          </cell>
        </row>
        <row r="602">
          <cell r="G602" t="str">
            <v>MICRO POWDERSMICROSCRUB 80PC55</v>
          </cell>
          <cell r="Q602">
            <v>29.777861818181815</v>
          </cell>
        </row>
        <row r="603">
          <cell r="G603" t="str">
            <v>MICRO POWDERSMICROSILK 417S5</v>
          </cell>
          <cell r="Q603">
            <v>123.06800000000001</v>
          </cell>
        </row>
        <row r="604">
          <cell r="G604" t="str">
            <v>MICRO POWDERSMICROSILK 417S25</v>
          </cell>
          <cell r="Q604">
            <v>86.62</v>
          </cell>
        </row>
        <row r="605">
          <cell r="G605" t="str">
            <v>MICRO POWDERSMICROSILK 417S70</v>
          </cell>
          <cell r="Q605">
            <v>76.054545454545448</v>
          </cell>
        </row>
        <row r="606">
          <cell r="G606" t="str">
            <v>MICRO POWDERSMICROSILK 42225</v>
          </cell>
          <cell r="Q606">
            <v>67.944980000000015</v>
          </cell>
        </row>
        <row r="607">
          <cell r="G607" t="str">
            <v>MICRO POWDERSMICROSILK 42270</v>
          </cell>
          <cell r="Q607">
            <v>59.090163636363641</v>
          </cell>
        </row>
        <row r="608">
          <cell r="G608" t="str">
            <v>MICRO POWDERSMICROSORB 944S18.18</v>
          </cell>
          <cell r="Q608">
            <v>117.69665799999999</v>
          </cell>
        </row>
        <row r="609">
          <cell r="G609" t="str">
            <v>MICRO POWDERSMICROSORB 944S34.1</v>
          </cell>
          <cell r="Q609">
            <v>104.50436181818182</v>
          </cell>
        </row>
        <row r="610">
          <cell r="G610" t="str">
            <v>MICRO POWDERSMICROSORB 988S18.18</v>
          </cell>
          <cell r="Q610">
            <v>104.4729</v>
          </cell>
        </row>
        <row r="611">
          <cell r="G611" t="str">
            <v>MICRO POWDERSMICROSORB 988S34.1</v>
          </cell>
          <cell r="Q611">
            <v>92.297363636363627</v>
          </cell>
        </row>
        <row r="612">
          <cell r="G612" t="str">
            <v>ACTERAMICROX LHA1</v>
          </cell>
          <cell r="Q612">
            <v>9987.2957374219113</v>
          </cell>
        </row>
        <row r="613">
          <cell r="G613" t="str">
            <v>ACTERAMICROX LHA5</v>
          </cell>
          <cell r="Q613">
            <v>8979.7981436881946</v>
          </cell>
        </row>
        <row r="614">
          <cell r="G614" t="str">
            <v>IC BIOMILKYFEEL NL10020</v>
          </cell>
          <cell r="Q614">
            <v>292.41699999999997</v>
          </cell>
        </row>
        <row r="615">
          <cell r="G615" t="str">
            <v>IC BIOMILKYSOME VB520</v>
          </cell>
          <cell r="Q615">
            <v>234.90179999999998</v>
          </cell>
        </row>
        <row r="616">
          <cell r="G616" t="str">
            <v>MPRMIRISTATO DE ISOPROPILA20</v>
          </cell>
          <cell r="Q616">
            <v>24.890431572192512</v>
          </cell>
        </row>
        <row r="617">
          <cell r="G617" t="str">
            <v>CODIFMITOBALANCE G5</v>
          </cell>
          <cell r="Q617">
            <v>115.6104136</v>
          </cell>
        </row>
        <row r="618">
          <cell r="G618" t="str">
            <v>CODIFMITOBALANCE P1</v>
          </cell>
          <cell r="Q618">
            <v>376.38368767999998</v>
          </cell>
        </row>
        <row r="619">
          <cell r="G619" t="str">
            <v>CODIFMITOBALANCE P5</v>
          </cell>
          <cell r="Q619">
            <v>327.29016319999999</v>
          </cell>
        </row>
        <row r="620">
          <cell r="G620" t="str">
            <v>DERMALABMITOCII REJUVENATE5</v>
          </cell>
          <cell r="Q620">
            <v>182.77235555555558</v>
          </cell>
        </row>
        <row r="621">
          <cell r="G621" t="str">
            <v>DERMALABMITOCII REJUVENATE(HD)5</v>
          </cell>
          <cell r="Q621">
            <v>184.29675555555559</v>
          </cell>
        </row>
        <row r="622">
          <cell r="G622" t="str">
            <v>BIOLANDMJB EXTRACT PF20</v>
          </cell>
          <cell r="Q622">
            <v>249.70650499999999</v>
          </cell>
        </row>
        <row r="623">
          <cell r="G623" t="str">
            <v>BIOLANDMOISTFULL5</v>
          </cell>
          <cell r="Q623">
            <v>149.48750499999997</v>
          </cell>
        </row>
        <row r="624">
          <cell r="G624" t="str">
            <v>IC BIOMOISTGEL20</v>
          </cell>
          <cell r="Q624">
            <v>155.8184</v>
          </cell>
        </row>
        <row r="625">
          <cell r="G625" t="str">
            <v>IC BIOMOISTSHIELD HA1</v>
          </cell>
          <cell r="Q625">
            <v>790.41170000000034</v>
          </cell>
        </row>
        <row r="626">
          <cell r="G626" t="str">
            <v>IC BIOMOISTSHIELD HA5</v>
          </cell>
          <cell r="Q626">
            <v>608.00900000000024</v>
          </cell>
        </row>
        <row r="627">
          <cell r="G627" t="str">
            <v>IC BIOMOISTSHIELD PM5</v>
          </cell>
          <cell r="Q627">
            <v>167.25655000000003</v>
          </cell>
        </row>
        <row r="628">
          <cell r="G628" t="str">
            <v>BIOLANDMULBERRY ROOT EXTRACT20</v>
          </cell>
          <cell r="Q628">
            <v>166.66790499999999</v>
          </cell>
        </row>
        <row r="629">
          <cell r="G629" t="str">
            <v>BIOLANDMULBERRY ROOT POWDER0,5</v>
          </cell>
          <cell r="Q629">
            <v>1380.749505</v>
          </cell>
        </row>
        <row r="630">
          <cell r="G630" t="str">
            <v>BIOLANDMUSAP1</v>
          </cell>
          <cell r="Q630">
            <v>383.29082545000006</v>
          </cell>
        </row>
        <row r="631">
          <cell r="G631" t="str">
            <v>BIOLANDMUSAP5</v>
          </cell>
          <cell r="Q631">
            <v>294.83909650000004</v>
          </cell>
        </row>
        <row r="632">
          <cell r="G632" t="str">
            <v>BIOLANDMUSAP20</v>
          </cell>
          <cell r="Q632">
            <v>226.79999999999998</v>
          </cell>
        </row>
        <row r="633">
          <cell r="G633" t="str">
            <v>ECOORINATORI EXOBIOME LB5</v>
          </cell>
          <cell r="Q633">
            <v>877.5</v>
          </cell>
        </row>
        <row r="634">
          <cell r="G634" t="str">
            <v>ECOORINATORI EXOBIOME LB10</v>
          </cell>
          <cell r="Q634">
            <v>528</v>
          </cell>
        </row>
        <row r="635">
          <cell r="G635" t="str">
            <v>ECOORINATORI EXOBREW YT5</v>
          </cell>
          <cell r="Q635">
            <v>877.5</v>
          </cell>
        </row>
        <row r="636">
          <cell r="G636" t="str">
            <v>ECOORINATORI EXOBREW YT10</v>
          </cell>
          <cell r="Q636">
            <v>528</v>
          </cell>
        </row>
        <row r="637">
          <cell r="G637" t="str">
            <v>ECOORINATORI GEM SPICULE10</v>
          </cell>
          <cell r="Q637">
            <v>2074</v>
          </cell>
        </row>
        <row r="638">
          <cell r="G638" t="str">
            <v>ECOORINATORI MUTIBIOME HD10</v>
          </cell>
          <cell r="Q638">
            <v>636</v>
          </cell>
        </row>
        <row r="639">
          <cell r="G639" t="str">
            <v>ECOORINATORI PDRN 951</v>
          </cell>
          <cell r="Q639">
            <v>9129.846428571429</v>
          </cell>
        </row>
        <row r="640">
          <cell r="G640" t="str">
            <v>ECOORINATORI PHYTOSPICULE RETINOL1</v>
          </cell>
          <cell r="Q640">
            <v>8266.7800000000007</v>
          </cell>
        </row>
        <row r="641">
          <cell r="G641" t="str">
            <v>ECOORINATORI PHYTOSPICULE TECA1</v>
          </cell>
          <cell r="Q641">
            <v>8266.7833333333328</v>
          </cell>
        </row>
        <row r="642">
          <cell r="G642" t="str">
            <v>GREENPHYTNATSILPHYTPEEL 500500</v>
          </cell>
          <cell r="Q642">
            <v>39.850909090909092</v>
          </cell>
        </row>
        <row r="643">
          <cell r="G643" t="str">
            <v>GREENPHYTNATSILPHYTPEEL 5001000</v>
          </cell>
          <cell r="Q643">
            <v>27.763636363636362</v>
          </cell>
        </row>
        <row r="644">
          <cell r="G644" t="str">
            <v>MICRO POWDERSNATUREBEAD  C1425</v>
          </cell>
          <cell r="Q644">
            <v>126.61996000000001</v>
          </cell>
        </row>
        <row r="645">
          <cell r="G645" t="str">
            <v>MICRO POWDERSNATUREBEAD  C1470</v>
          </cell>
          <cell r="Q645">
            <v>112.43105454545454</v>
          </cell>
        </row>
        <row r="646">
          <cell r="G646" t="str">
            <v>MICRO POWDERSNATUREBEAD AQUA R1025</v>
          </cell>
          <cell r="Q646">
            <v>157.802592</v>
          </cell>
        </row>
        <row r="647">
          <cell r="G647" t="str">
            <v>MICRO POWDERSNATUREBEAD AQUA R1070</v>
          </cell>
          <cell r="Q647">
            <v>140.96430181818181</v>
          </cell>
        </row>
        <row r="648">
          <cell r="G648" t="str">
            <v>MICRO POWDERSNATUREBEAD B2025</v>
          </cell>
          <cell r="Q648">
            <v>100.40234000000001</v>
          </cell>
        </row>
        <row r="649">
          <cell r="G649" t="str">
            <v>MICRO POWDERSNATUREBEAD B2070</v>
          </cell>
          <cell r="Q649">
            <v>88.596854545454548</v>
          </cell>
        </row>
        <row r="650">
          <cell r="G650" t="str">
            <v>MICRO POWDERSNATUREBEAD COCOA C201</v>
          </cell>
          <cell r="Q650">
            <v>117.92660000000001</v>
          </cell>
        </row>
        <row r="651">
          <cell r="G651" t="str">
            <v>MICRO POWDERSNATUREBEAD COCOA C205</v>
          </cell>
          <cell r="Q651">
            <v>107.20219400000002</v>
          </cell>
        </row>
        <row r="652">
          <cell r="G652" t="str">
            <v>MICRO POWDERSNATUREBEAD COCOA C2025</v>
          </cell>
          <cell r="Q652">
            <v>97.456540000000004</v>
          </cell>
        </row>
        <row r="653">
          <cell r="G653" t="str">
            <v>MICRO POWDERSNATUREBEAD COCOA C2070</v>
          </cell>
          <cell r="Q653">
            <v>85.918854545454536</v>
          </cell>
        </row>
        <row r="654">
          <cell r="G654" t="str">
            <v>MICRO POWDERSNATUREBEAD G2025</v>
          </cell>
          <cell r="Q654">
            <v>126.45927999999999</v>
          </cell>
        </row>
        <row r="655">
          <cell r="G655" t="str">
            <v>MICRO POWDERSNATUREBEAD G2070</v>
          </cell>
          <cell r="Q655">
            <v>112.28498181818181</v>
          </cell>
        </row>
        <row r="656">
          <cell r="G656" t="str">
            <v>MICRO POWDERSNATUREBEAD GREEN TEA R2025</v>
          </cell>
          <cell r="Q656">
            <v>133.87734</v>
          </cell>
        </row>
        <row r="657">
          <cell r="G657" t="str">
            <v>MICRO POWDERSNATUREBEAD GREEN TEA R2070</v>
          </cell>
          <cell r="Q657">
            <v>119.02867272727271</v>
          </cell>
        </row>
        <row r="658">
          <cell r="G658" t="str">
            <v>MICRO POWDERSNATUREBEAD J2025</v>
          </cell>
          <cell r="Q658">
            <v>145.01781999999997</v>
          </cell>
        </row>
        <row r="659">
          <cell r="G659" t="str">
            <v>MICRO POWDERSNATUREBEAD J2070</v>
          </cell>
          <cell r="Q659">
            <v>129.15638181818181</v>
          </cell>
        </row>
        <row r="660">
          <cell r="G660" t="str">
            <v>MICRO POWDERSNATUREBEAD PURPLE H205</v>
          </cell>
          <cell r="Q660">
            <v>109.2</v>
          </cell>
        </row>
        <row r="661">
          <cell r="G661" t="str">
            <v>MICRO POWDERSNATUREBEAD PURPLE H2025</v>
          </cell>
          <cell r="Q661">
            <v>82.381818181818176</v>
          </cell>
        </row>
        <row r="662">
          <cell r="G662" t="str">
            <v>MICRO POWDERSNATUREBEAD R2025</v>
          </cell>
          <cell r="Q662">
            <v>127.04844</v>
          </cell>
        </row>
        <row r="663">
          <cell r="G663" t="str">
            <v>MICRO POWDERSNATUREBEAD R2070</v>
          </cell>
          <cell r="Q663">
            <v>112.82058181818182</v>
          </cell>
        </row>
        <row r="664">
          <cell r="G664" t="str">
            <v>MICRO POWDERSNATUREBEAD SEAFOAM C1025</v>
          </cell>
          <cell r="Q664">
            <v>130.20950999999999</v>
          </cell>
        </row>
        <row r="665">
          <cell r="G665" t="str">
            <v>MICRO POWDERSNATUREBEAD SEAFOAM C1070</v>
          </cell>
          <cell r="Q665">
            <v>115.87968181818181</v>
          </cell>
        </row>
        <row r="666">
          <cell r="G666" t="str">
            <v>MICRO POWDERSNATUREBEAD WHITE H2025</v>
          </cell>
          <cell r="Q666">
            <v>61.062519999999999</v>
          </cell>
        </row>
        <row r="667">
          <cell r="G667" t="str">
            <v>MICRO POWDERSNATUREBEAD WHITE H2070</v>
          </cell>
          <cell r="Q667">
            <v>52.833381818181813</v>
          </cell>
        </row>
        <row r="668">
          <cell r="G668" t="str">
            <v>MICRO POWDERSNATUREBEAD YELLOW C2025</v>
          </cell>
          <cell r="Q668">
            <v>95.448039999999992</v>
          </cell>
        </row>
        <row r="669">
          <cell r="G669" t="str">
            <v>MICRO POWDERSNATUREBEAD YELLOW C2070</v>
          </cell>
          <cell r="Q669">
            <v>84.092945454545443</v>
          </cell>
        </row>
        <row r="670">
          <cell r="G670" t="str">
            <v>MICRO POWDERSNATUREBLUE 20RS25</v>
          </cell>
          <cell r="Q670">
            <v>166.33470000000003</v>
          </cell>
        </row>
        <row r="671">
          <cell r="G671" t="str">
            <v>MICRO POWDERSNATUREBLUE 20RS70</v>
          </cell>
          <cell r="Q671">
            <v>148.53536363636363</v>
          </cell>
        </row>
        <row r="672">
          <cell r="G672" t="str">
            <v>MICRO POWDERSNATUREBROWN 20RS25</v>
          </cell>
          <cell r="Q672">
            <v>166.33470000000003</v>
          </cell>
        </row>
        <row r="673">
          <cell r="G673" t="str">
            <v>MICRO POWDERSNATUREBROWN 20RS70</v>
          </cell>
          <cell r="Q673">
            <v>148.53536363636363</v>
          </cell>
        </row>
        <row r="674">
          <cell r="G674" t="str">
            <v>MICRO POWDERSNATURECEL 7501</v>
          </cell>
          <cell r="Q674">
            <v>65.043100848000009</v>
          </cell>
        </row>
        <row r="675">
          <cell r="G675" t="str">
            <v>MICRO POWDERSNATURECEL 7505</v>
          </cell>
          <cell r="Q675">
            <v>59.13009168</v>
          </cell>
        </row>
        <row r="676">
          <cell r="G676" t="str">
            <v>MICRO POWDERSNATURECEL 75025</v>
          </cell>
          <cell r="Q676">
            <v>56.782004800000003</v>
          </cell>
        </row>
        <row r="677">
          <cell r="G677" t="str">
            <v>MICRO POWDERSNATURECEL 75055</v>
          </cell>
          <cell r="Q677">
            <v>48.867844363636358</v>
          </cell>
        </row>
        <row r="678">
          <cell r="G678" t="str">
            <v>MICRO POWDERSNATURECEL 79325</v>
          </cell>
          <cell r="Q678">
            <v>43.654201600000007</v>
          </cell>
        </row>
        <row r="679">
          <cell r="G679" t="str">
            <v>MICRO POWDERSNATURECEL 79370</v>
          </cell>
          <cell r="Q679">
            <v>36.933477818181821</v>
          </cell>
        </row>
        <row r="680">
          <cell r="G680" t="str">
            <v>MICRO POWDERSNATUREGEL MC75015</v>
          </cell>
          <cell r="Q680">
            <v>103.63636363636363</v>
          </cell>
        </row>
        <row r="681">
          <cell r="G681" t="str">
            <v>MICRO POWDERSNATUREGREEN 20RS1</v>
          </cell>
          <cell r="Q681">
            <v>197.70056900000006</v>
          </cell>
        </row>
        <row r="682">
          <cell r="G682" t="str">
            <v>MICRO POWDERSNATUREGREEN 20RS5</v>
          </cell>
          <cell r="Q682">
            <v>179.72779000000003</v>
          </cell>
        </row>
        <row r="683">
          <cell r="G683" t="str">
            <v>MICRO POWDERSNATUREGREEN 20RS25</v>
          </cell>
          <cell r="Q683">
            <v>166.33470000000003</v>
          </cell>
        </row>
        <row r="684">
          <cell r="G684" t="str">
            <v>MICRO POWDERSNATUREGREEN 20RS70</v>
          </cell>
          <cell r="Q684">
            <v>148.53536363636363</v>
          </cell>
        </row>
        <row r="685">
          <cell r="G685" t="str">
            <v>MICRO POWDERSNATURERED 20RS25</v>
          </cell>
          <cell r="Q685">
            <v>166.33470000000003</v>
          </cell>
        </row>
        <row r="686">
          <cell r="G686" t="str">
            <v>MICRO POWDERSNATURERED 20RS70</v>
          </cell>
          <cell r="Q686">
            <v>148.53536363636363</v>
          </cell>
        </row>
        <row r="687">
          <cell r="G687" t="str">
            <v>MICRO POWDERSNATURESCRUB C2025</v>
          </cell>
          <cell r="Q687">
            <v>77.558999999999997</v>
          </cell>
        </row>
        <row r="688">
          <cell r="G688" t="str">
            <v>MICRO POWDERSNATURESCRUB C2055</v>
          </cell>
          <cell r="Q688">
            <v>67.830181818181813</v>
          </cell>
        </row>
        <row r="689">
          <cell r="G689" t="str">
            <v>MICRO POWDERSNATURESCRUB C50
25</v>
          </cell>
          <cell r="Q689">
            <v>81.013620000000003</v>
          </cell>
        </row>
        <row r="690">
          <cell r="G690" t="str">
            <v>MICRO POWDERSNATURESCRUB C50
55</v>
          </cell>
          <cell r="Q690">
            <v>70.970745454545465</v>
          </cell>
        </row>
        <row r="691">
          <cell r="G691" t="str">
            <v>MICRO POWDERSNATURESCRUB COCOA C505</v>
          </cell>
          <cell r="Q691">
            <v>111.03400000000001</v>
          </cell>
        </row>
        <row r="692">
          <cell r="G692" t="str">
            <v>MICRO POWDERSNATURESCRUB COCOA C5025</v>
          </cell>
          <cell r="Q692">
            <v>77.666119999999992</v>
          </cell>
        </row>
        <row r="693">
          <cell r="G693" t="str">
            <v>MICRO POWDERSNATURESCRUB COCOA C5055</v>
          </cell>
          <cell r="Q693">
            <v>67.927563636363644</v>
          </cell>
        </row>
        <row r="694">
          <cell r="G694" t="str">
            <v>MICRO POWDERSNATURESCRUB H1425</v>
          </cell>
          <cell r="Q694">
            <v>50.082719999999995</v>
          </cell>
        </row>
        <row r="695">
          <cell r="G695" t="str">
            <v>MICRO POWDERSNATURESCRUB H1455</v>
          </cell>
          <cell r="Q695">
            <v>42.851745454545451</v>
          </cell>
        </row>
        <row r="696">
          <cell r="G696" t="str">
            <v>MICRO POWDERSNATURESCRUB H201</v>
          </cell>
          <cell r="Q696">
            <v>48.124628200000011</v>
          </cell>
        </row>
        <row r="697">
          <cell r="G697" t="str">
            <v>MICRO POWDERSNATURESCRUB H205</v>
          </cell>
          <cell r="Q697">
            <v>46.990042000000003</v>
          </cell>
        </row>
        <row r="698">
          <cell r="G698" t="str">
            <v>MICRO POWDERSNATURESCRUB H2025</v>
          </cell>
          <cell r="Q698">
            <v>42.718219999999995</v>
          </cell>
        </row>
        <row r="699">
          <cell r="G699" t="str">
            <v>MICRO POWDERSNATURESCRUB H2055</v>
          </cell>
          <cell r="Q699">
            <v>36.156745454545451</v>
          </cell>
        </row>
        <row r="700">
          <cell r="G700" t="str">
            <v>MICRO POWDERSNATURESCRUB H505</v>
          </cell>
          <cell r="Q700">
            <v>53.559176000000001</v>
          </cell>
        </row>
        <row r="701">
          <cell r="G701" t="str">
            <v>MICRO POWDERSNATURESCRUB H5025</v>
          </cell>
          <cell r="Q701">
            <v>48.690159999999999</v>
          </cell>
        </row>
        <row r="702">
          <cell r="G702" t="str">
            <v>MICRO POWDERSNATURESCRUB H5055</v>
          </cell>
          <cell r="Q702">
            <v>41.585781818181808</v>
          </cell>
        </row>
        <row r="703">
          <cell r="G703" t="str">
            <v>MICRO POWDERSNATURESCRUB M2025</v>
          </cell>
          <cell r="Q703">
            <v>79.07450080000001</v>
          </cell>
        </row>
        <row r="704">
          <cell r="G704" t="str">
            <v>MICRO POWDERSNATURESCRUB M2055</v>
          </cell>
          <cell r="Q704">
            <v>69.133749818181812</v>
          </cell>
        </row>
        <row r="705">
          <cell r="G705" t="str">
            <v>MICRO POWDERSNATURESCRUB M5025</v>
          </cell>
          <cell r="Q705">
            <v>83.533000000000001</v>
          </cell>
        </row>
        <row r="706">
          <cell r="G706" t="str">
            <v>MICRO POWDERSNATURESCRUB M5055</v>
          </cell>
          <cell r="Q706">
            <v>73.186930909090918</v>
          </cell>
        </row>
        <row r="707">
          <cell r="G707" t="str">
            <v>MICRO POWDERSNATURESCRUB MOCHA H3525</v>
          </cell>
          <cell r="Q707">
            <v>63.927980000000005</v>
          </cell>
        </row>
        <row r="708">
          <cell r="G708" t="str">
            <v>MICRO POWDERSNATURESCRUB MOCHA H3555</v>
          </cell>
          <cell r="Q708">
            <v>55.438345454545448</v>
          </cell>
        </row>
        <row r="709">
          <cell r="G709" t="str">
            <v>MICRO POWDERSNATURESOFT 8001</v>
          </cell>
          <cell r="Q709">
            <v>68.624450400000001</v>
          </cell>
        </row>
        <row r="710">
          <cell r="G710" t="str">
            <v>MICRO POWDERSNATURESOFT 8005</v>
          </cell>
          <cell r="Q710">
            <v>62.385863999999998</v>
          </cell>
        </row>
        <row r="711">
          <cell r="G711" t="str">
            <v>MICRO POWDERSNATURESOFT 80025</v>
          </cell>
          <cell r="Q711">
            <v>56.714421818181812</v>
          </cell>
        </row>
        <row r="712">
          <cell r="G712" t="str">
            <v>MICRO POWDERSNATURESOFT 81025</v>
          </cell>
          <cell r="Q712">
            <v>73.890140000000002</v>
          </cell>
        </row>
        <row r="713">
          <cell r="G713" t="str">
            <v>MICRO POWDERSNATURESOFT 81055</v>
          </cell>
          <cell r="Q713">
            <v>64.494854545454544</v>
          </cell>
        </row>
        <row r="714">
          <cell r="G714" t="str">
            <v>MICRO POWDERSNATURESOFT 860R25</v>
          </cell>
          <cell r="Q714">
            <v>56.108220000000003</v>
          </cell>
        </row>
        <row r="715">
          <cell r="G715" t="str">
            <v>MICRO POWDERSNATURESOFT 860R55</v>
          </cell>
          <cell r="Q715">
            <v>48.32947272727273</v>
          </cell>
        </row>
        <row r="716">
          <cell r="G716" t="str">
            <v>MICRO POWDERSNATURESOFT 860S1</v>
          </cell>
          <cell r="Q716">
            <v>91.586000000000013</v>
          </cell>
        </row>
        <row r="717">
          <cell r="G717" t="str">
            <v>MICRO POWDERSNATURESOFT 860S5</v>
          </cell>
          <cell r="Q717">
            <v>83.26</v>
          </cell>
        </row>
        <row r="718">
          <cell r="G718" t="str">
            <v>MICRO POWDERSNATURESOFT 860S25</v>
          </cell>
          <cell r="Q718">
            <v>75.690909090909088</v>
          </cell>
        </row>
        <row r="719">
          <cell r="G719" t="str">
            <v>MICRO POWDERSNATURESOFT 880GT1</v>
          </cell>
          <cell r="Q719">
            <v>86.004670400000023</v>
          </cell>
        </row>
        <row r="720">
          <cell r="G720" t="str">
            <v>MICRO POWDERSNATURESOFT 880GT5</v>
          </cell>
          <cell r="Q720">
            <v>78.186064000000002</v>
          </cell>
        </row>
        <row r="721">
          <cell r="G721" t="str">
            <v>MICRO POWDERSNATURESOFT 880GT25</v>
          </cell>
          <cell r="Q721">
            <v>74.024039999999999</v>
          </cell>
        </row>
        <row r="722">
          <cell r="G722" t="str">
            <v>MICRO POWDERSNATURESOFT 880GT55</v>
          </cell>
          <cell r="Q722">
            <v>64.616581818181814</v>
          </cell>
        </row>
        <row r="723">
          <cell r="G723" t="str">
            <v>MICRO POWDERSNATURESORB 100018</v>
          </cell>
          <cell r="Q723">
            <v>106.72242000000001</v>
          </cell>
        </row>
        <row r="724">
          <cell r="G724" t="str">
            <v>MICRO POWDERSNATURESORB 100034,1</v>
          </cell>
          <cell r="Q724">
            <v>94.342381818181821</v>
          </cell>
        </row>
        <row r="725">
          <cell r="G725" t="str">
            <v>MICRO POWDERSNATURETHIX 9005</v>
          </cell>
          <cell r="Q725">
            <v>43.098000000000006</v>
          </cell>
        </row>
        <row r="726">
          <cell r="G726" t="str">
            <v>MICRO POWDERSNATURETHIX 90025</v>
          </cell>
          <cell r="Q726">
            <v>30.14</v>
          </cell>
        </row>
        <row r="727">
          <cell r="G727" t="str">
            <v>MICRO POWDERSNATURETHIX 90055</v>
          </cell>
          <cell r="Q727">
            <v>24.709090909090907</v>
          </cell>
        </row>
        <row r="728">
          <cell r="G728" t="str">
            <v>CITROLEONATUROIL AMAZON BURITI5</v>
          </cell>
          <cell r="Q728">
            <v>75.84</v>
          </cell>
        </row>
        <row r="729">
          <cell r="G729" t="str">
            <v>CITROLEONATUROIL AMAZON PRACAXI5</v>
          </cell>
          <cell r="Q729">
            <v>44.14</v>
          </cell>
        </row>
        <row r="730">
          <cell r="G730" t="str">
            <v>KUMARN-BUTYL RESORCINOL1</v>
          </cell>
          <cell r="Q730">
            <v>929.72499999999991</v>
          </cell>
        </row>
        <row r="731">
          <cell r="G731" t="str">
            <v>KUMARN-BUTYL RESORCINOL10</v>
          </cell>
          <cell r="Q731">
            <v>743.78</v>
          </cell>
        </row>
        <row r="732">
          <cell r="G732" t="str">
            <v>BIOLANDNEAWAPLE(DERMAP)5</v>
          </cell>
          <cell r="Q732">
            <v>349.92550499999999</v>
          </cell>
        </row>
        <row r="733">
          <cell r="G733" t="str">
            <v>DERMALABNEUROCOL Y5</v>
          </cell>
          <cell r="Q733">
            <v>178.26507555555557</v>
          </cell>
        </row>
        <row r="734">
          <cell r="G734" t="str">
            <v>DERMALABNEUROCOL Y(HD)5</v>
          </cell>
          <cell r="Q734">
            <v>180.16851555555559</v>
          </cell>
        </row>
        <row r="735">
          <cell r="G735" t="str">
            <v>CODIFNEUROGUARD G1</v>
          </cell>
          <cell r="Q735">
            <v>200.37049379999996</v>
          </cell>
        </row>
        <row r="736">
          <cell r="G736" t="str">
            <v>CODIFNEUROGUARD G5</v>
          </cell>
          <cell r="Q736">
            <v>166.73067319999996</v>
          </cell>
        </row>
        <row r="737">
          <cell r="G737" t="str">
            <v>CODIFNEUROGUARD P1</v>
          </cell>
          <cell r="Q737">
            <v>298.11652354</v>
          </cell>
        </row>
        <row r="738">
          <cell r="G738" t="str">
            <v>CODIFNEUROGUARD P5</v>
          </cell>
          <cell r="Q738">
            <v>254.76197159999998</v>
          </cell>
        </row>
        <row r="739">
          <cell r="G739" t="str">
            <v>CODIFNEUROLIGHT 61G1</v>
          </cell>
          <cell r="Q739">
            <v>304.28483098000004</v>
          </cell>
        </row>
        <row r="740">
          <cell r="G740" t="str">
            <v>CODIFNEUROLIGHT 61G5</v>
          </cell>
          <cell r="Q740">
            <v>256.71456319999999</v>
          </cell>
        </row>
        <row r="741">
          <cell r="G741" t="str">
            <v>CHEMAXCELNIACINAMIDA EZM1</v>
          </cell>
          <cell r="Q741">
            <v>42.87980125</v>
          </cell>
        </row>
        <row r="742">
          <cell r="G742" t="str">
            <v>CHEMAXCELNIACINAMIDA EZM25</v>
          </cell>
          <cell r="Q742">
            <v>32.984462499999999</v>
          </cell>
        </row>
        <row r="743">
          <cell r="G743" t="str">
            <v>CHEMAXCELNIACINAMIDE1</v>
          </cell>
          <cell r="Q743">
            <v>42.87980125</v>
          </cell>
        </row>
        <row r="744">
          <cell r="G744" t="str">
            <v>CHEMAXCELNIACINAMIDE25</v>
          </cell>
          <cell r="Q744">
            <v>32.984462499999999</v>
          </cell>
        </row>
        <row r="745">
          <cell r="G745" t="str">
            <v>BIOLANDNUTRA-HA1</v>
          </cell>
          <cell r="Q745">
            <v>2039.3315050000003</v>
          </cell>
        </row>
        <row r="746">
          <cell r="G746" t="str">
            <v>BIOLANDNUTRA-HAF1</v>
          </cell>
          <cell r="Q746">
            <v>2325.6715049999998</v>
          </cell>
        </row>
        <row r="747">
          <cell r="G747" t="str">
            <v>DERMALABOAT KERNEL EXTRACT-DL5</v>
          </cell>
          <cell r="Q747">
            <v>151.67459555555558</v>
          </cell>
        </row>
        <row r="748">
          <cell r="G748" t="str">
            <v>NORMACTIVEOAT KERNEL FLOUR25</v>
          </cell>
          <cell r="Q748">
            <v>111.42727272727272</v>
          </cell>
        </row>
        <row r="749">
          <cell r="G749" t="str">
            <v>DERMALABODOR BYE5</v>
          </cell>
          <cell r="Q749">
            <v>154.72339555555558</v>
          </cell>
        </row>
        <row r="750">
          <cell r="G750" t="str">
            <v>DERMALABODOR BYE(BG)5</v>
          </cell>
          <cell r="Q750">
            <v>154.72339555555558</v>
          </cell>
        </row>
        <row r="751">
          <cell r="G751" t="str">
            <v>MPROLEATO DE DECILA-CETIOL V20</v>
          </cell>
          <cell r="Q751">
            <v>30.673456556149734</v>
          </cell>
        </row>
        <row r="752">
          <cell r="G752" t="str">
            <v>MPROLEO DE ABACATE20</v>
          </cell>
          <cell r="Q752">
            <v>10.95763071657754</v>
          </cell>
        </row>
        <row r="753">
          <cell r="G753" t="str">
            <v>MPROLEO DE AMENDOAS20</v>
          </cell>
          <cell r="Q753">
            <v>7.8364399572192518</v>
          </cell>
        </row>
        <row r="754">
          <cell r="G754" t="str">
            <v>MPROLEO DE ARGAN20</v>
          </cell>
          <cell r="Q754">
            <v>41.740602737967912</v>
          </cell>
        </row>
        <row r="755">
          <cell r="G755" t="str">
            <v>MPROLEO DE AVELÃ20</v>
          </cell>
          <cell r="Q755">
            <v>18.334714139037434</v>
          </cell>
        </row>
        <row r="756">
          <cell r="G756" t="str">
            <v>MPROLEO DE CAFÉ VERDE10</v>
          </cell>
          <cell r="Q756">
            <v>253.19975563636365</v>
          </cell>
        </row>
        <row r="757">
          <cell r="G757" t="str">
            <v>MPROLEO DE CALENDULA20</v>
          </cell>
          <cell r="Q757">
            <v>11.435239828877004</v>
          </cell>
        </row>
        <row r="758">
          <cell r="G758" t="str">
            <v>MPROLEO DE CASTANHA DO PARA20</v>
          </cell>
          <cell r="Q758">
            <v>13.79590652406417</v>
          </cell>
        </row>
        <row r="759">
          <cell r="G759" t="str">
            <v>MPROLEO DE CENOURA20</v>
          </cell>
          <cell r="Q759">
            <v>6.2545499037433148</v>
          </cell>
        </row>
        <row r="760">
          <cell r="G760" t="str">
            <v>MPROLEO DE COCO ORBIGNYA OLEÍFERA27</v>
          </cell>
          <cell r="Q760">
            <v>5.7495619251336896</v>
          </cell>
        </row>
        <row r="761">
          <cell r="G761" t="str">
            <v>MPROLEO DE COPAIBA20</v>
          </cell>
          <cell r="Q761">
            <v>51.609162994652415</v>
          </cell>
        </row>
        <row r="762">
          <cell r="G762" t="str">
            <v>MPROLEO DE FRAMBOESA20</v>
          </cell>
          <cell r="Q762">
            <v>37.536425711229953</v>
          </cell>
        </row>
        <row r="763">
          <cell r="G763" t="str">
            <v>MPROLEO DE GERGELIM20</v>
          </cell>
          <cell r="Q763">
            <v>8.8616263957219257</v>
          </cell>
        </row>
        <row r="764">
          <cell r="G764" t="str">
            <v>MPROLEO DE GERMEN DE TRIGO20</v>
          </cell>
          <cell r="Q764">
            <v>10.434390160427807</v>
          </cell>
        </row>
        <row r="765">
          <cell r="G765" t="str">
            <v>MPROLEO DE GIRASSOL20</v>
          </cell>
          <cell r="Q765">
            <v>10.013364038502674</v>
          </cell>
        </row>
        <row r="766">
          <cell r="G766" t="str">
            <v>MPROLEO DE GIRASSOL180</v>
          </cell>
          <cell r="Q766">
            <v>7.4926830802139035</v>
          </cell>
        </row>
        <row r="767">
          <cell r="G767" t="str">
            <v>MPROLEO DE LINHAÇA20</v>
          </cell>
          <cell r="Q767">
            <v>12.064953754010695</v>
          </cell>
        </row>
        <row r="768">
          <cell r="G768" t="str">
            <v>MPROLEO DE MACADAMIA20</v>
          </cell>
          <cell r="Q768">
            <v>19.02526998930481</v>
          </cell>
        </row>
        <row r="769">
          <cell r="G769" t="str">
            <v>MPROLEO DE MARACUJA20</v>
          </cell>
          <cell r="Q769">
            <v>13.199655657754011</v>
          </cell>
        </row>
        <row r="770">
          <cell r="G770" t="str">
            <v>MPROLEO DE MENTA20</v>
          </cell>
          <cell r="Q770">
            <v>136.56274305882354</v>
          </cell>
        </row>
        <row r="771">
          <cell r="G771" t="str">
            <v>MPROLEO DE MONOI DO TAHITI -BALDE27</v>
          </cell>
          <cell r="Q771">
            <v>15.024913411764706</v>
          </cell>
        </row>
        <row r="772">
          <cell r="G772" t="str">
            <v>MPROLEO DE OLIVA20</v>
          </cell>
          <cell r="Q772">
            <v>11.404818866310162</v>
          </cell>
        </row>
        <row r="773">
          <cell r="G773" t="str">
            <v>MPROLEO DE PESSEGO20</v>
          </cell>
          <cell r="Q773">
            <v>10.054128128342246</v>
          </cell>
        </row>
        <row r="774">
          <cell r="G774" t="str">
            <v>MPROLEO DE ROSA MOSQUETA20</v>
          </cell>
          <cell r="Q774">
            <v>55.79721691122996</v>
          </cell>
        </row>
        <row r="775">
          <cell r="G775" t="str">
            <v>MPROLEO DE ROSA MOSQUETA180</v>
          </cell>
          <cell r="Q775">
            <v>42.753620791443851</v>
          </cell>
        </row>
        <row r="776">
          <cell r="G776" t="str">
            <v>MPROLEO DE ROSA MOSQUETA BLEND20</v>
          </cell>
          <cell r="Q776">
            <v>18.587208128342247</v>
          </cell>
        </row>
        <row r="777">
          <cell r="G777" t="str">
            <v>MPROLEO DE SEMENTE DE UVA20</v>
          </cell>
          <cell r="Q777">
            <v>7.5443987165775424</v>
          </cell>
        </row>
        <row r="778">
          <cell r="G778" t="str">
            <v>OLIOLI- 2208 OLICOCLEAN-SF5</v>
          </cell>
          <cell r="Q778">
            <v>644</v>
          </cell>
        </row>
        <row r="779">
          <cell r="G779" t="str">
            <v>OLIOLI-1900 OLICOYOUNG RETINOL1</v>
          </cell>
          <cell r="Q779">
            <v>2716</v>
          </cell>
        </row>
        <row r="780">
          <cell r="G780" t="str">
            <v>OLIOLI-2190 OLICOLIGHT GRR1</v>
          </cell>
          <cell r="Q780">
            <v>1214</v>
          </cell>
        </row>
        <row r="781">
          <cell r="G781" t="str">
            <v>OLIOLI-443225</v>
          </cell>
          <cell r="Q781">
            <v>89.98</v>
          </cell>
        </row>
        <row r="782">
          <cell r="G782" t="str">
            <v>OLIOLI-47065</v>
          </cell>
          <cell r="Q782">
            <v>400</v>
          </cell>
        </row>
        <row r="783">
          <cell r="G783" t="str">
            <v>OLIOLI-4706100</v>
          </cell>
          <cell r="Q783">
            <v>238.68</v>
          </cell>
        </row>
        <row r="784">
          <cell r="G784" t="str">
            <v>OLIOLI-4706200</v>
          </cell>
          <cell r="Q784">
            <v>179.86</v>
          </cell>
        </row>
        <row r="785">
          <cell r="G785" t="str">
            <v>OLIOLI-47085</v>
          </cell>
          <cell r="Q785">
            <v>450</v>
          </cell>
        </row>
        <row r="786">
          <cell r="G786" t="str">
            <v>OLIOLI-481820</v>
          </cell>
          <cell r="Q786">
            <v>99.98</v>
          </cell>
        </row>
        <row r="787">
          <cell r="G787" t="str">
            <v>OLIOLI-48885</v>
          </cell>
          <cell r="Q787">
            <v>98</v>
          </cell>
        </row>
        <row r="788">
          <cell r="G788" t="str">
            <v>OLIOLI-4888C120</v>
          </cell>
          <cell r="Q788">
            <v>73.180000000000007</v>
          </cell>
        </row>
        <row r="789">
          <cell r="G789" t="str">
            <v>OLIOLI-7100 PREMIUM OIL CERAMIDE SOLUTION1</v>
          </cell>
          <cell r="Q789">
            <v>383.37918400000001</v>
          </cell>
        </row>
        <row r="790">
          <cell r="G790" t="str">
            <v>OLIOLI-7105 PREMIUM CARE FACTOR5</v>
          </cell>
          <cell r="Q790">
            <v>610.68700000000001</v>
          </cell>
        </row>
        <row r="791">
          <cell r="G791" t="str">
            <v>OLIOLI-804525</v>
          </cell>
          <cell r="Q791">
            <v>73.92</v>
          </cell>
        </row>
        <row r="792">
          <cell r="G792" t="str">
            <v>OLIOLI-80461</v>
          </cell>
          <cell r="Q792">
            <v>270.29259999999999</v>
          </cell>
        </row>
        <row r="793">
          <cell r="G793" t="str">
            <v>OLIOLI-8046 (ZINC PCA)1</v>
          </cell>
          <cell r="Q793">
            <v>370</v>
          </cell>
        </row>
        <row r="794">
          <cell r="G794" t="str">
            <v>OLIOLICONEW-81061</v>
          </cell>
          <cell r="Q794">
            <v>206.88980000000004</v>
          </cell>
        </row>
        <row r="795">
          <cell r="G795" t="str">
            <v>OLIOLICONEW-81065</v>
          </cell>
          <cell r="Q795">
            <v>159.14600000000002</v>
          </cell>
        </row>
        <row r="796">
          <cell r="G796" t="str">
            <v>OLIOLICONEW-810620</v>
          </cell>
          <cell r="Q796">
            <v>122.42</v>
          </cell>
        </row>
        <row r="797">
          <cell r="G797" t="str">
            <v>BIOLANDOLIGO HA – 1% SOLUTION (EP)25</v>
          </cell>
          <cell r="Q797">
            <v>152.59295499999999</v>
          </cell>
        </row>
        <row r="798">
          <cell r="G798" t="str">
            <v>BIOLANDOLIGO-HA0,1</v>
          </cell>
          <cell r="Q798">
            <v>3948.8547107499999</v>
          </cell>
        </row>
        <row r="799">
          <cell r="G799" t="str">
            <v>BIOLANDOLIGO-HA1</v>
          </cell>
          <cell r="Q799">
            <v>3433.786705</v>
          </cell>
        </row>
        <row r="800">
          <cell r="G800" t="str">
            <v>NORMACTIVEOLIVE DERIVED SQUALENE25</v>
          </cell>
          <cell r="Q800">
            <v>236.24454545454543</v>
          </cell>
        </row>
        <row r="801">
          <cell r="G801" t="str">
            <v>NORMACTIVEOLIVE DERIVED SQUALENE100</v>
          </cell>
          <cell r="Q801">
            <v>170.6241818181818</v>
          </cell>
        </row>
        <row r="802">
          <cell r="G802" t="str">
            <v>NORMACTIVEOLIVE KERNEL OIL5</v>
          </cell>
          <cell r="Q802">
            <v>384.08465909090904</v>
          </cell>
        </row>
        <row r="803">
          <cell r="G803" t="str">
            <v>NORMACTIVEOLIVE KERNEL OIL25</v>
          </cell>
          <cell r="Q803">
            <v>274.12045454545455</v>
          </cell>
        </row>
        <row r="804">
          <cell r="G804" t="str">
            <v>NORMACTIVEOLIVE KERNEL OIL100</v>
          </cell>
          <cell r="Q804">
            <v>201.61781818181817</v>
          </cell>
        </row>
        <row r="805">
          <cell r="G805" t="str">
            <v>NORMACTIVEOLIVE SEED POWDER25</v>
          </cell>
          <cell r="Q805">
            <v>131.84</v>
          </cell>
        </row>
        <row r="806">
          <cell r="G806" t="str">
            <v>OLIOLP-612020</v>
          </cell>
          <cell r="Q806">
            <v>130.86000000000001</v>
          </cell>
        </row>
        <row r="807">
          <cell r="G807" t="str">
            <v>DERMALABONION EXTRACT(HD)5</v>
          </cell>
          <cell r="Q807">
            <v>115.08899555555557</v>
          </cell>
        </row>
        <row r="808">
          <cell r="G808" t="str">
            <v>SPEC CHEMORYZANOL20</v>
          </cell>
          <cell r="Q808">
            <v>308.88</v>
          </cell>
        </row>
        <row r="809">
          <cell r="G809" t="str">
            <v>MPRPALMITATO DE ISOPROPILA20</v>
          </cell>
          <cell r="Q809">
            <v>24.224212491978609</v>
          </cell>
        </row>
        <row r="810">
          <cell r="G810" t="str">
            <v>MPRPALMITATO DE OCTILA20</v>
          </cell>
          <cell r="Q810">
            <v>20.975253689839576</v>
          </cell>
        </row>
        <row r="811">
          <cell r="G811" t="str">
            <v>CODIFPANTODIUM CICA PENT1</v>
          </cell>
          <cell r="Q811">
            <v>489.84807979999994</v>
          </cell>
        </row>
        <row r="812">
          <cell r="G812" t="str">
            <v>CODIFPANTODIUM CICA PENT5</v>
          </cell>
          <cell r="Q812">
            <v>399.06554840000001</v>
          </cell>
        </row>
        <row r="813">
          <cell r="G813" t="str">
            <v>DERMALABPAPRIKA EXTRACT-DL5</v>
          </cell>
          <cell r="Q813">
            <v>119.57567555555556</v>
          </cell>
        </row>
        <row r="814">
          <cell r="G814" t="str">
            <v>CHEMAXCELPDRN (POLYDEOXYRIBONUCLEOTIDE)0,01</v>
          </cell>
          <cell r="Q814">
            <v>46075.153556249999</v>
          </cell>
        </row>
        <row r="815">
          <cell r="G815" t="str">
            <v>CHEMAXCELPDRN (POLYDEOXYRIBONUCLEOTIDE)0,05</v>
          </cell>
          <cell r="Q815">
            <v>43881.098625000006</v>
          </cell>
        </row>
        <row r="816">
          <cell r="G816" t="str">
            <v>CHEMAXCELPDRN (POLYDEOXYRIBONUCLEOTIDE)0,1</v>
          </cell>
          <cell r="Q816">
            <v>35371.350000000006</v>
          </cell>
        </row>
        <row r="817">
          <cell r="G817" t="str">
            <v>CHEMAXCELPDRN (POLYDEOXYRIBONUCLEOTIDE)0,25</v>
          </cell>
          <cell r="Q817">
            <v>26298.105000000003</v>
          </cell>
        </row>
        <row r="818">
          <cell r="G818" t="str">
            <v>CHEMAXCELPDRN (POLYDEOXYRIBONUCLEOTIDE)1</v>
          </cell>
          <cell r="Q818">
            <v>22382.642857142859</v>
          </cell>
        </row>
        <row r="819">
          <cell r="G819" t="str">
            <v>BIOLANDPEACH LEAF EXTRACT5</v>
          </cell>
          <cell r="Q819">
            <v>129.44370499999999</v>
          </cell>
        </row>
        <row r="820">
          <cell r="G820" t="str">
            <v>DERMALABPEACHCALM (G)5</v>
          </cell>
          <cell r="Q820">
            <v>163.86979555555556</v>
          </cell>
        </row>
        <row r="821">
          <cell r="G821" t="str">
            <v>DERMALABPEACHCALM (HD)5</v>
          </cell>
          <cell r="Q821">
            <v>163.86979555555556</v>
          </cell>
        </row>
        <row r="822">
          <cell r="G822" t="str">
            <v>CORE BIOGENESISPEAUFORIA1</v>
          </cell>
          <cell r="Q822">
            <v>2755.6299999999997</v>
          </cell>
        </row>
        <row r="823">
          <cell r="G823" t="str">
            <v>CORE BIOGENESISPEAUFORIA10</v>
          </cell>
          <cell r="Q823">
            <v>1522.76</v>
          </cell>
        </row>
        <row r="824">
          <cell r="G824" t="str">
            <v>CORE BIOGENESISPEAUVITA1</v>
          </cell>
          <cell r="Q824">
            <v>2755.6299999999997</v>
          </cell>
        </row>
        <row r="825">
          <cell r="G825" t="str">
            <v>CORE BIOGENESISPEAUVITA10</v>
          </cell>
          <cell r="Q825">
            <v>1522.76</v>
          </cell>
        </row>
        <row r="826">
          <cell r="G826" t="str">
            <v>IC BIOPEELING GEL5</v>
          </cell>
          <cell r="Q826">
            <v>221.25636000000003</v>
          </cell>
        </row>
        <row r="827">
          <cell r="G827" t="str">
            <v>IC BIOPEELING GEL10</v>
          </cell>
          <cell r="Q827">
            <v>170.19720000000001</v>
          </cell>
        </row>
        <row r="828">
          <cell r="G828" t="str">
            <v>BIOLANDPEONY ROOT EXTRACT II5</v>
          </cell>
          <cell r="Q828">
            <v>192.43850499999999</v>
          </cell>
        </row>
        <row r="829">
          <cell r="G829" t="str">
            <v>BIOLANDPF BLUEBERRY EXTRACT5</v>
          </cell>
          <cell r="Q829">
            <v>165.52254499999998</v>
          </cell>
        </row>
        <row r="830">
          <cell r="G830" t="str">
            <v>BIOLANDPF FRUCTAN20</v>
          </cell>
          <cell r="Q830">
            <v>143.18802499999998</v>
          </cell>
        </row>
        <row r="831">
          <cell r="G831" t="str">
            <v>BIOLANDPF JEJU RAPE FLOWER EXTRACT20</v>
          </cell>
          <cell r="Q831">
            <v>163.80450499999998</v>
          </cell>
        </row>
        <row r="832">
          <cell r="G832" t="str">
            <v>BIOLANDPF ROYAL JELLY EXTRACT5</v>
          </cell>
          <cell r="Q832">
            <v>236.66670500000001</v>
          </cell>
        </row>
        <row r="833">
          <cell r="G833" t="str">
            <v>BIOLANDPF SC-GLUCAN1</v>
          </cell>
          <cell r="Q833">
            <v>315.31240649999995</v>
          </cell>
        </row>
        <row r="834">
          <cell r="G834" t="str">
            <v>BIOLANDPF SC-GLUCAN5</v>
          </cell>
          <cell r="Q834">
            <v>242.54800499999996</v>
          </cell>
        </row>
        <row r="835">
          <cell r="G835" t="str">
            <v>BIOLANDPF SOYPOL SP5</v>
          </cell>
          <cell r="Q835">
            <v>191.53725499999999</v>
          </cell>
        </row>
        <row r="836">
          <cell r="G836" t="str">
            <v>CODIFPHEOHYDRANE G5</v>
          </cell>
          <cell r="Q836">
            <v>148.66331959999999</v>
          </cell>
        </row>
        <row r="837">
          <cell r="G837" t="str">
            <v>CODIFPHEOHYDRANE P1</v>
          </cell>
          <cell r="Q837">
            <v>199.20717265999997</v>
          </cell>
        </row>
        <row r="838">
          <cell r="G838" t="str">
            <v>CODIFPHEOHYDRANE P5</v>
          </cell>
          <cell r="Q838">
            <v>169.62427279999997</v>
          </cell>
        </row>
        <row r="839">
          <cell r="G839" t="str">
            <v>DERMALABPHILORETURN(G)5</v>
          </cell>
          <cell r="Q839">
            <v>172.10155555555556</v>
          </cell>
        </row>
        <row r="840">
          <cell r="G840" t="str">
            <v>DERMALABPHILORETURN(GHD)5</v>
          </cell>
          <cell r="Q840">
            <v>172.10155555555556</v>
          </cell>
        </row>
        <row r="841">
          <cell r="G841" t="str">
            <v>DERMALABPHILORETURN(HD)5</v>
          </cell>
          <cell r="Q841">
            <v>172.10155555555556</v>
          </cell>
        </row>
        <row r="842">
          <cell r="G842" t="str">
            <v>CODIFPHORMISKIN BIOPROTECH G1</v>
          </cell>
          <cell r="Q842">
            <v>193.28235103999998</v>
          </cell>
        </row>
        <row r="843">
          <cell r="G843" t="str">
            <v>CODIFPHORMISKIN BIOPROTECH G5</v>
          </cell>
          <cell r="Q843">
            <v>162.02563319999999</v>
          </cell>
        </row>
        <row r="844">
          <cell r="G844" t="str">
            <v>CODIFPHYCO R7 G5</v>
          </cell>
          <cell r="Q844">
            <v>254.50319439999998</v>
          </cell>
        </row>
        <row r="845">
          <cell r="G845" t="str">
            <v>CODIFPHYCOJUVENINE1</v>
          </cell>
          <cell r="Q845">
            <v>446.2505460189999</v>
          </cell>
        </row>
        <row r="846">
          <cell r="G846" t="str">
            <v>CODIFPHYCOJUVENINE5</v>
          </cell>
          <cell r="Q846">
            <v>379.19730159999995</v>
          </cell>
        </row>
        <row r="847">
          <cell r="G847" t="str">
            <v>CODIFPHYCOJUVENINE30</v>
          </cell>
          <cell r="Q847">
            <v>322.39692159999998</v>
          </cell>
        </row>
        <row r="848">
          <cell r="G848" t="str">
            <v>CODIFPHYCOJUVENINE DI GPENT1</v>
          </cell>
          <cell r="Q848">
            <v>279.04346764000002</v>
          </cell>
        </row>
        <row r="849">
          <cell r="G849" t="str">
            <v>CODIFPHYCOJUVENINE DI GPENT5</v>
          </cell>
          <cell r="Q849">
            <v>216.70290304</v>
          </cell>
        </row>
        <row r="850">
          <cell r="G850" t="str">
            <v>CODIFPHYCOJUVENINE G5</v>
          </cell>
          <cell r="Q850">
            <v>119.77437400000001</v>
          </cell>
        </row>
        <row r="851">
          <cell r="G851" t="str">
            <v>CODIFPHYCOSACCHARIDE ACG5</v>
          </cell>
          <cell r="Q851">
            <v>181.22219639999997</v>
          </cell>
        </row>
        <row r="852">
          <cell r="G852" t="str">
            <v>CODIFPHYCOSACCHARIDE ACP1</v>
          </cell>
          <cell r="Q852">
            <v>317.2287627</v>
          </cell>
        </row>
        <row r="853">
          <cell r="G853" t="str">
            <v>CODIFPHYCOSACCHARIDE ACP5</v>
          </cell>
          <cell r="Q853">
            <v>253.31513266000002</v>
          </cell>
        </row>
        <row r="854">
          <cell r="G854" t="str">
            <v>CODIFPHYCOSACCHARIDE ACP30</v>
          </cell>
          <cell r="Q854">
            <v>215.19258520000002</v>
          </cell>
        </row>
        <row r="855">
          <cell r="G855" t="str">
            <v>CODIFPHYCOSACCHARIDE AIG5</v>
          </cell>
          <cell r="Q855">
            <v>129.96078560000001</v>
          </cell>
        </row>
        <row r="856">
          <cell r="G856" t="str">
            <v>CODIFPHYCOSACCHARIDE AIP1</v>
          </cell>
          <cell r="Q856">
            <v>272.24069935799997</v>
          </cell>
        </row>
        <row r="857">
          <cell r="G857" t="str">
            <v>CODIFPHYCOSACCHARIDE AIP5</v>
          </cell>
          <cell r="Q857">
            <v>214.05980767999995</v>
          </cell>
        </row>
        <row r="858">
          <cell r="G858" t="str">
            <v>CODIFPHYCOSACCHARIDE AIP30</v>
          </cell>
          <cell r="Q858">
            <v>179.57543240000004</v>
          </cell>
        </row>
        <row r="859">
          <cell r="G859" t="str">
            <v>CODIFPHYCOSACCHARIDE APG5</v>
          </cell>
          <cell r="Q859">
            <v>124.9969684</v>
          </cell>
        </row>
        <row r="860">
          <cell r="G860" t="str">
            <v>CODIFPHYCOSACCHARIDE APP5</v>
          </cell>
          <cell r="Q860">
            <v>144.14648119999998</v>
          </cell>
        </row>
        <row r="861">
          <cell r="G861" t="str">
            <v>IC BIOPHYTO-KERATINASE5</v>
          </cell>
          <cell r="Q861">
            <v>310.39050000000003</v>
          </cell>
        </row>
        <row r="862">
          <cell r="G862" t="str">
            <v>DERMALABPINEAPPLE EXTRACT5</v>
          </cell>
          <cell r="Q862">
            <v>163.86979555555556</v>
          </cell>
        </row>
        <row r="863">
          <cell r="G863" t="str">
            <v>CODIFPINK PEPPERSLIM0,4</v>
          </cell>
          <cell r="Q863">
            <v>3280.7366565999996</v>
          </cell>
        </row>
        <row r="864">
          <cell r="G864" t="str">
            <v>CODIFPINK PEPPERSLIM1</v>
          </cell>
          <cell r="Q864">
            <v>2598.0836184</v>
          </cell>
        </row>
        <row r="865">
          <cell r="G865" t="str">
            <v>KUMARPIROCTONE OLAMINE1</v>
          </cell>
          <cell r="Q865">
            <v>184.6</v>
          </cell>
        </row>
        <row r="866">
          <cell r="G866" t="str">
            <v>KUMARPIROCTONE OLAMINE25</v>
          </cell>
          <cell r="Q866">
            <v>142</v>
          </cell>
        </row>
        <row r="867">
          <cell r="G867" t="str">
            <v>DERMALABPMS-F 50005</v>
          </cell>
          <cell r="Q867">
            <v>186.12603555555557</v>
          </cell>
        </row>
        <row r="868">
          <cell r="G868" t="str">
            <v>DERMALABPMS-F 5000(HD)5</v>
          </cell>
          <cell r="Q868">
            <v>187.65043555555559</v>
          </cell>
        </row>
        <row r="869">
          <cell r="G869" t="str">
            <v>BIOLANDPOLYGONUM EXTRACT20</v>
          </cell>
          <cell r="Q869">
            <v>177.34900500000001</v>
          </cell>
        </row>
        <row r="870">
          <cell r="G870" t="str">
            <v>BIOLANDPORTULACA EXTRACT1</v>
          </cell>
          <cell r="Q870">
            <v>234.24265150000002</v>
          </cell>
        </row>
        <row r="871">
          <cell r="G871" t="str">
            <v>BIOLANDPORTULACA EXTRACT5</v>
          </cell>
          <cell r="Q871">
            <v>180.186655</v>
          </cell>
        </row>
        <row r="872">
          <cell r="G872" t="str">
            <v>BIOLANDPORTULACA EXTRACT GN1</v>
          </cell>
          <cell r="Q872">
            <v>234.24265150000002</v>
          </cell>
        </row>
        <row r="873">
          <cell r="G873" t="str">
            <v>BIOLANDPORTULACA EXTRACT GN5</v>
          </cell>
          <cell r="Q873">
            <v>180.186655</v>
          </cell>
        </row>
        <row r="874">
          <cell r="G874" t="str">
            <v>CODIFPOUDRE EPIDERMIST 40 PUR0,05</v>
          </cell>
          <cell r="Q874">
            <v>45767.53338142857</v>
          </cell>
        </row>
        <row r="875">
          <cell r="G875" t="str">
            <v>CODIFPOUDRE EPIDERMIST 40 PUR0,5</v>
          </cell>
          <cell r="Q875">
            <v>33551.88090685715</v>
          </cell>
        </row>
        <row r="876">
          <cell r="G876" t="str">
            <v>CODIFPOUDRE EPS SEAFILL PUR0,05</v>
          </cell>
          <cell r="Q876">
            <v>48532.843391428563</v>
          </cell>
        </row>
        <row r="877">
          <cell r="G877" t="str">
            <v>CODIFPOUDRE EPS SEAFILL PUR0,5</v>
          </cell>
          <cell r="Q877">
            <v>40092.938342857138</v>
          </cell>
        </row>
        <row r="878">
          <cell r="G878" t="str">
            <v>CODIFPOUDRE EPS SEAMAT PUR0,05</v>
          </cell>
          <cell r="Q878">
            <v>41165.865270285707</v>
          </cell>
        </row>
        <row r="879">
          <cell r="G879" t="str">
            <v>CODIFPOUDRE EPS SEAMAT PUR0,5</v>
          </cell>
          <cell r="Q879">
            <v>34174.478768000001</v>
          </cell>
        </row>
        <row r="880">
          <cell r="G880" t="str">
            <v>IC BIOPROCERAMIDE 2.050</v>
          </cell>
          <cell r="Q880">
            <v>723.78099999999995</v>
          </cell>
        </row>
        <row r="881">
          <cell r="G881" t="str">
            <v>IC BIOPTD LIPOSOME (ADENOSINE)20</v>
          </cell>
          <cell r="Q881">
            <v>283.43539999999996</v>
          </cell>
        </row>
        <row r="882">
          <cell r="G882" t="str">
            <v>IC BIOPTD LIPOSOME(BIOTIN) N20</v>
          </cell>
          <cell r="Q882">
            <v>337.94299999999998</v>
          </cell>
        </row>
        <row r="883">
          <cell r="G883" t="str">
            <v>JOYVOPULLULAN1</v>
          </cell>
          <cell r="Q883">
            <v>216.66666666666669</v>
          </cell>
        </row>
        <row r="884">
          <cell r="G884" t="str">
            <v>JOYVOPULLULAN10</v>
          </cell>
          <cell r="Q884">
            <v>166.66666666666669</v>
          </cell>
        </row>
        <row r="885">
          <cell r="G885" t="str">
            <v>NORMACTIVEPUMPKIN SEEDCAKE25</v>
          </cell>
          <cell r="Q885">
            <v>127.75745454545454</v>
          </cell>
        </row>
        <row r="886">
          <cell r="G886" t="str">
            <v>DERMALABQS CONTROL AC1</v>
          </cell>
          <cell r="Q886">
            <v>243.94556622222228</v>
          </cell>
        </row>
        <row r="887">
          <cell r="G887" t="str">
            <v>DERMALABQS CONTROL AC5</v>
          </cell>
          <cell r="Q887">
            <v>187.65043555555559</v>
          </cell>
        </row>
        <row r="888">
          <cell r="G888" t="str">
            <v>UNIPOWDERSR-029 CER（609333)25</v>
          </cell>
          <cell r="Q888">
            <v>108.12690161524007</v>
          </cell>
        </row>
        <row r="889">
          <cell r="G889" t="str">
            <v>CODIFRAYKAMI PDO1</v>
          </cell>
          <cell r="Q889">
            <v>463.65982715999991</v>
          </cell>
        </row>
        <row r="890">
          <cell r="G890" t="str">
            <v>CODIFRAYKAMI PDO5</v>
          </cell>
          <cell r="Q890">
            <v>385.42093240000003</v>
          </cell>
        </row>
        <row r="891">
          <cell r="G891" t="str">
            <v>DERMALABRB-EXO+B5(GHD)1</v>
          </cell>
          <cell r="Q891">
            <v>775.62204444444455</v>
          </cell>
        </row>
        <row r="892">
          <cell r="G892" t="str">
            <v>DERMALABRB-EXO+B5(GHD)5</v>
          </cell>
          <cell r="Q892">
            <v>620.49763555555569</v>
          </cell>
        </row>
        <row r="893">
          <cell r="G893" t="str">
            <v>DERMALABREAL MADECA PDRN5</v>
          </cell>
          <cell r="Q893">
            <v>840.34495555555566</v>
          </cell>
        </row>
        <row r="894">
          <cell r="G894" t="str">
            <v>DERMALABRED PEPPER EXTRACT-DL5</v>
          </cell>
          <cell r="Q894">
            <v>125.92047555555556</v>
          </cell>
        </row>
        <row r="895">
          <cell r="G895" t="str">
            <v>CODIFREGETASTE PDO1</v>
          </cell>
          <cell r="Q895">
            <v>443.74809787999993</v>
          </cell>
        </row>
        <row r="896">
          <cell r="G896" t="str">
            <v>CODIFREGETASTE PDO5</v>
          </cell>
          <cell r="Q896">
            <v>385.86791119999998</v>
          </cell>
        </row>
        <row r="897">
          <cell r="G897" t="str">
            <v>BIOLANDREISHI PDRN1</v>
          </cell>
          <cell r="Q897">
            <v>5025.6127366666669</v>
          </cell>
        </row>
        <row r="898">
          <cell r="G898" t="str">
            <v>SPEC CHEMRESVERATROL NATURAL1</v>
          </cell>
          <cell r="Q898">
            <v>862.1881120614072</v>
          </cell>
        </row>
        <row r="899">
          <cell r="G899" t="str">
            <v>SPEC CHEMRESVERATROL SYNTHETIC1</v>
          </cell>
          <cell r="Q899">
            <v>629.82286806940886</v>
          </cell>
        </row>
        <row r="900">
          <cell r="G900" t="str">
            <v>SPEC CHEMRETINOL RRT VE1</v>
          </cell>
          <cell r="Q900">
            <v>940.42</v>
          </cell>
        </row>
        <row r="901">
          <cell r="G901" t="str">
            <v>BIOLANDRHODIOLA EXTRACT0,1</v>
          </cell>
          <cell r="Q901">
            <v>1813.253406</v>
          </cell>
        </row>
        <row r="902">
          <cell r="G902" t="str">
            <v>BIOLANDRHODIOLA EXTRACT1</v>
          </cell>
          <cell r="Q902">
            <v>1511.0445050000001</v>
          </cell>
        </row>
        <row r="903">
          <cell r="G903" t="str">
            <v>BIOLANDRHODIOLA EXTRACT PF5</v>
          </cell>
          <cell r="Q903">
            <v>163.16075499999999</v>
          </cell>
        </row>
        <row r="904">
          <cell r="G904" t="str">
            <v>CODIFRHODOFILTRAT PALMARIA G5</v>
          </cell>
          <cell r="Q904">
            <v>103.00090639999999</v>
          </cell>
        </row>
        <row r="905">
          <cell r="G905" t="str">
            <v>CODIFRHODYSSEY P1</v>
          </cell>
          <cell r="Q905">
            <v>142.69001072999998</v>
          </cell>
        </row>
        <row r="906">
          <cell r="G906" t="str">
            <v>CODIFRHODYSSEY P5</v>
          </cell>
          <cell r="Q906">
            <v>105.35691604</v>
          </cell>
        </row>
        <row r="907">
          <cell r="G907" t="str">
            <v>CODIFRHODYSSEY P30</v>
          </cell>
          <cell r="Q907">
            <v>89.756218799999999</v>
          </cell>
        </row>
        <row r="908">
          <cell r="G908" t="str">
            <v>CODIFRHODYSSEY PA1</v>
          </cell>
          <cell r="Q908">
            <v>249.12442614699995</v>
          </cell>
        </row>
        <row r="909">
          <cell r="G909" t="str">
            <v>CODIFRHODYSSEY PA5</v>
          </cell>
          <cell r="Q909">
            <v>166.90472053999997</v>
          </cell>
        </row>
        <row r="910">
          <cell r="G910" t="str">
            <v>CODIFRHODYSSEY PA30</v>
          </cell>
          <cell r="Q910">
            <v>141.58223439999998</v>
          </cell>
        </row>
        <row r="911">
          <cell r="G911" t="str">
            <v>CODIFRHODYSSEY PG5</v>
          </cell>
          <cell r="Q911">
            <v>149.69842840000001</v>
          </cell>
        </row>
        <row r="912">
          <cell r="G912" t="str">
            <v>DERMALABRICE BRAN EXTRACT(HD)5</v>
          </cell>
          <cell r="Q912">
            <v>114.87475555555555</v>
          </cell>
        </row>
        <row r="913">
          <cell r="G913" t="str">
            <v>NORMACTIVERICE BRAN OIL5</v>
          </cell>
          <cell r="Q913">
            <v>432.42443181818169</v>
          </cell>
        </row>
        <row r="914">
          <cell r="G914" t="str">
            <v>NORMACTIVERICE BRAN OIL25</v>
          </cell>
          <cell r="Q914">
            <v>315.55454545454546</v>
          </cell>
        </row>
        <row r="915">
          <cell r="G915" t="str">
            <v>NORMACTIVERICE BRAN OIL100</v>
          </cell>
          <cell r="Q915">
            <v>234.76509090909096</v>
          </cell>
        </row>
        <row r="916">
          <cell r="G916" t="str">
            <v>DERMALABRICE EXTRACT-DL5</v>
          </cell>
          <cell r="Q916">
            <v>102.89379555555556</v>
          </cell>
        </row>
        <row r="917">
          <cell r="G917" t="str">
            <v>NORMACTIVERICE GERM POWDER25</v>
          </cell>
          <cell r="Q917">
            <v>107.34472727272727</v>
          </cell>
        </row>
        <row r="918">
          <cell r="G918" t="str">
            <v>BIOLANDRICE PDRN1</v>
          </cell>
          <cell r="Q918">
            <v>1733.8541049999999</v>
          </cell>
        </row>
        <row r="919">
          <cell r="G919" t="str">
            <v>BIOLANDRICE PDRN (ED)1</v>
          </cell>
          <cell r="Q919">
            <v>1733.8541049999999</v>
          </cell>
        </row>
        <row r="920">
          <cell r="G920" t="str">
            <v>BIOLANDROSE HIP EXTRACT20</v>
          </cell>
          <cell r="Q920">
            <v>131.94660499999998</v>
          </cell>
        </row>
        <row r="921">
          <cell r="G921" t="str">
            <v>NORMACTIVEROSECOCKTAIL1</v>
          </cell>
          <cell r="Q921">
            <v>877.13068181818176</v>
          </cell>
        </row>
        <row r="922">
          <cell r="G922" t="str">
            <v>NORMACTIVEROSECOCKTAIL5</v>
          </cell>
          <cell r="Q922">
            <v>711.59090909090901</v>
          </cell>
        </row>
        <row r="923">
          <cell r="G923" t="str">
            <v>NORMACTIVEROSECOCKTAIL25</v>
          </cell>
          <cell r="Q923">
            <v>531.61363636363626</v>
          </cell>
        </row>
        <row r="924">
          <cell r="G924" t="str">
            <v>NORMACTIVEROSECOCKTAIL100</v>
          </cell>
          <cell r="Q924">
            <v>397.69090909090903</v>
          </cell>
        </row>
        <row r="925">
          <cell r="G925" t="str">
            <v>DERMALABROSEHIP EXTRACT(HD)5</v>
          </cell>
          <cell r="Q925">
            <v>138.21455555555556</v>
          </cell>
        </row>
        <row r="926">
          <cell r="G926" t="str">
            <v>NORMACTIVEROSEHIP SEED POWDER25</v>
          </cell>
          <cell r="Q926">
            <v>119.59236363636363</v>
          </cell>
        </row>
        <row r="927">
          <cell r="G927" t="str">
            <v>NORMACTIVEROSEMARY HYDROSOL100</v>
          </cell>
          <cell r="Q927">
            <v>101.22090909090909</v>
          </cell>
        </row>
        <row r="928">
          <cell r="G928" t="str">
            <v>DERMALABROSEMARY LEAF EXTRACT(HD)5</v>
          </cell>
          <cell r="Q928">
            <v>118.74755555555558</v>
          </cell>
        </row>
        <row r="929">
          <cell r="G929" t="str">
            <v>UNIPOWDERSRP-29LL Plus(609855)25</v>
          </cell>
          <cell r="Q929">
            <v>92.061710706149142</v>
          </cell>
        </row>
        <row r="930">
          <cell r="G930" t="str">
            <v>UNIPOWDERSRP－29PF(609512)25</v>
          </cell>
          <cell r="Q930">
            <v>160.22402070614916</v>
          </cell>
        </row>
        <row r="931">
          <cell r="G931" t="str">
            <v>UNIPOWDERSRP-29SG（609902S）25</v>
          </cell>
          <cell r="Q931">
            <v>81.045579797058238</v>
          </cell>
        </row>
        <row r="932">
          <cell r="G932" t="str">
            <v>UNIPOWDERSRP-29TMS（609318）25</v>
          </cell>
          <cell r="Q932">
            <v>80.58657434251279</v>
          </cell>
        </row>
        <row r="933">
          <cell r="G933" t="str">
            <v>NORMACTIVERUSCOGENINS 92-1035</v>
          </cell>
          <cell r="Q933">
            <v>8074.7585714285724</v>
          </cell>
        </row>
        <row r="934">
          <cell r="G934" t="str">
            <v>SALICYLATESSALICAP CSA1</v>
          </cell>
          <cell r="Q934">
            <v>306.81818181818181</v>
          </cell>
        </row>
        <row r="935">
          <cell r="G935" t="str">
            <v>SALICYLATESSALICAP CSA5</v>
          </cell>
          <cell r="Q935">
            <v>245.45454545454544</v>
          </cell>
        </row>
        <row r="936">
          <cell r="G936" t="str">
            <v>CHEMAXCELSALICYLIC ACID1</v>
          </cell>
          <cell r="Q936">
            <v>24.504999999999999</v>
          </cell>
        </row>
        <row r="937">
          <cell r="G937" t="str">
            <v>CHEMAXCELSALICYLIC ACID25</v>
          </cell>
          <cell r="Q937">
            <v>14.499999999999998</v>
          </cell>
        </row>
        <row r="938">
          <cell r="G938" t="str">
            <v>IC BIOSALICYLIC EASY1</v>
          </cell>
          <cell r="Q938">
            <v>338.56099999999998</v>
          </cell>
        </row>
        <row r="939">
          <cell r="G939" t="str">
            <v>IC BIOSALICYLIC EASY5</v>
          </cell>
          <cell r="Q939">
            <v>270.84879999999998</v>
          </cell>
        </row>
        <row r="940">
          <cell r="G940" t="str">
            <v>CODIFSALSOTHIN G5</v>
          </cell>
          <cell r="Q940">
            <v>109.7526388</v>
          </cell>
        </row>
        <row r="941">
          <cell r="G941" t="str">
            <v>CODIFSAMPHIRA OIL BIOACTIVE0,4</v>
          </cell>
          <cell r="Q941">
            <v>2078.0945407075001</v>
          </cell>
        </row>
        <row r="942">
          <cell r="G942" t="str">
            <v>CODIFSAMPHIRA OIL BIOACTIVE1</v>
          </cell>
          <cell r="Q942">
            <v>1697.2401532200001</v>
          </cell>
        </row>
        <row r="943">
          <cell r="G943" t="str">
            <v>CODIFSAMPHIRA OIL BIOACTIVE4</v>
          </cell>
          <cell r="Q943">
            <v>1475.8374776000001</v>
          </cell>
        </row>
        <row r="944">
          <cell r="G944" t="str">
            <v>BIOLANDSC-GLUCAN1</v>
          </cell>
          <cell r="Q944">
            <v>315.31240649999995</v>
          </cell>
        </row>
        <row r="945">
          <cell r="G945" t="str">
            <v>BIOLANDSC-GLUCAN5</v>
          </cell>
          <cell r="Q945">
            <v>242.54800499999996</v>
          </cell>
        </row>
        <row r="946">
          <cell r="G946" t="str">
            <v>BIOLANDSC-GLUCAN H20</v>
          </cell>
          <cell r="Q946">
            <v>227.84475499999999</v>
          </cell>
        </row>
        <row r="947">
          <cell r="G947" t="str">
            <v>DERMALABSCHIZANDRA BERRY EXTRACT(HD)5</v>
          </cell>
          <cell r="Q947">
            <v>137.81697555555556</v>
          </cell>
        </row>
        <row r="948">
          <cell r="G948" t="str">
            <v>CODIFSCOPARIANE G5</v>
          </cell>
          <cell r="Q948">
            <v>146.56957680000002</v>
          </cell>
        </row>
        <row r="949">
          <cell r="G949" t="str">
            <v>CODIFSCOPARIANE P1</v>
          </cell>
          <cell r="Q949">
            <v>244.98250681999997</v>
          </cell>
        </row>
        <row r="950">
          <cell r="G950" t="str">
            <v>CODIFSCOPARIANE P5</v>
          </cell>
          <cell r="Q950">
            <v>196.70177800000002</v>
          </cell>
        </row>
        <row r="951">
          <cell r="G951" t="str">
            <v>DERMALABSCUTELLARIA ROOT EXTRACT(HD)5</v>
          </cell>
          <cell r="Q951">
            <v>150.15019555555557</v>
          </cell>
        </row>
        <row r="952">
          <cell r="G952" t="str">
            <v>DERMALABSEA TRUMPET EXTRACT(HD)5</v>
          </cell>
          <cell r="Q952">
            <v>118.44267555555555</v>
          </cell>
        </row>
        <row r="953">
          <cell r="G953" t="str">
            <v>BIOLANDSELASTIN5</v>
          </cell>
          <cell r="Q953">
            <v>219.91375499999995</v>
          </cell>
        </row>
        <row r="954">
          <cell r="G954" t="str">
            <v>BIOLANDSENAS5</v>
          </cell>
          <cell r="Q954">
            <v>227.84475499999999</v>
          </cell>
        </row>
        <row r="955">
          <cell r="G955" t="str">
            <v>CODIFSENSORY APPLE POMACE5</v>
          </cell>
          <cell r="Q955">
            <v>229.42533120000002</v>
          </cell>
        </row>
        <row r="956">
          <cell r="G956" t="str">
            <v>BIOLANDSERICIN 4.5 CL5</v>
          </cell>
          <cell r="Q956">
            <v>301.36100499999998</v>
          </cell>
        </row>
        <row r="957">
          <cell r="G957" t="str">
            <v>NORMACTIVESESAME SEED POWDER25</v>
          </cell>
          <cell r="Q957">
            <v>103.26218181818182</v>
          </cell>
        </row>
        <row r="958">
          <cell r="G958" t="str">
            <v>CHEMAXCELSHIKIMIC ACID1</v>
          </cell>
          <cell r="Q958">
            <v>272.04999999999995</v>
          </cell>
        </row>
        <row r="959">
          <cell r="G959" t="str">
            <v>SPEC CHEMSHIKIMIC ACID1</v>
          </cell>
          <cell r="Q959">
            <v>228.02</v>
          </cell>
        </row>
        <row r="960">
          <cell r="G960" t="str">
            <v>SPEC CHEMSHIKIMIC ACID5</v>
          </cell>
          <cell r="Q960">
            <v>175.4</v>
          </cell>
        </row>
        <row r="961">
          <cell r="G961" t="str">
            <v>CODIFSILENAGE G5</v>
          </cell>
          <cell r="Q961">
            <v>334.20657199999999</v>
          </cell>
        </row>
        <row r="962">
          <cell r="G962" t="str">
            <v>CODIFSILENAGE GP1</v>
          </cell>
          <cell r="Q962">
            <v>384.39166575999997</v>
          </cell>
        </row>
        <row r="963">
          <cell r="G963" t="str">
            <v>CODIFSILENAGE GP5</v>
          </cell>
          <cell r="Q963">
            <v>334.20657199999999</v>
          </cell>
        </row>
        <row r="964">
          <cell r="G964" t="str">
            <v>DERMALABSILVER EAR MUSHROOM EXTRACT(HD)5</v>
          </cell>
          <cell r="Q964">
            <v>135.51595555555556</v>
          </cell>
        </row>
        <row r="965">
          <cell r="G965" t="str">
            <v>CODIFSKINPERF LWG1</v>
          </cell>
          <cell r="Q965">
            <v>326.87490428000001</v>
          </cell>
        </row>
        <row r="966">
          <cell r="G966" t="str">
            <v>CODIFSKINPERF LWG5</v>
          </cell>
          <cell r="Q966">
            <v>279.15760399999999</v>
          </cell>
        </row>
        <row r="967">
          <cell r="G967" t="str">
            <v>DERMALABSKINPRO QM5</v>
          </cell>
          <cell r="Q967">
            <v>181.75471555555561</v>
          </cell>
        </row>
        <row r="968">
          <cell r="G968" t="str">
            <v>DERMALABSKINPRO QM(HD)5</v>
          </cell>
          <cell r="Q968">
            <v>181.75555555555559</v>
          </cell>
        </row>
        <row r="969">
          <cell r="G969" t="str">
            <v>IC BIOSMART V – TDG50</v>
          </cell>
          <cell r="Q969">
            <v>831.62200000000007</v>
          </cell>
        </row>
        <row r="970">
          <cell r="G970" t="str">
            <v>NORMACTIVESMARTEEN0,1</v>
          </cell>
          <cell r="Q970">
            <v>12295.730475000004</v>
          </cell>
        </row>
        <row r="971">
          <cell r="G971" t="str">
            <v>NORMACTIVESMARTEEN0,5</v>
          </cell>
          <cell r="Q971">
            <v>11101.875750000001</v>
          </cell>
        </row>
        <row r="972">
          <cell r="G972" t="str">
            <v>NORMACTIVESMARTEEN1</v>
          </cell>
          <cell r="Q972">
            <v>9607.59</v>
          </cell>
        </row>
        <row r="973">
          <cell r="G973" t="str">
            <v>NORMACTIVESMARTEEN5</v>
          </cell>
          <cell r="Q973">
            <v>8782.2285714285717</v>
          </cell>
        </row>
        <row r="974">
          <cell r="G974" t="str">
            <v>BIOLANDSNAIL SECRETION FILTRATE5</v>
          </cell>
          <cell r="Q974">
            <v>139.331705</v>
          </cell>
        </row>
        <row r="975">
          <cell r="G975" t="str">
            <v>CHEMAXCELSODIUM ASCORBYL PHOSPHATE1</v>
          </cell>
          <cell r="Q975">
            <v>263.03625</v>
          </cell>
        </row>
        <row r="976">
          <cell r="G976" t="str">
            <v>BIOLANDSODIUM HYALURONATE POWDER C (HMW)1</v>
          </cell>
          <cell r="Q976">
            <v>1730.681705</v>
          </cell>
        </row>
        <row r="977">
          <cell r="G977" t="str">
            <v>OSODIUM HYALURONATE POWDER C (LMW)1</v>
          </cell>
          <cell r="Q977" t="e">
            <v>#VALUE!</v>
          </cell>
        </row>
        <row r="978">
          <cell r="G978" t="str">
            <v>BIOLANDSODIUM HYALURONATE POWDER C (MMW)1</v>
          </cell>
          <cell r="Q978">
            <v>1279.799205</v>
          </cell>
        </row>
        <row r="979">
          <cell r="G979" t="str">
            <v>BIOLANDSODIUM HYALURONATE POWDER C (VLMW)1</v>
          </cell>
          <cell r="Q979">
            <v>1677.6367050000001</v>
          </cell>
        </row>
        <row r="980">
          <cell r="G980" t="str">
            <v>BIOLANDSOPHORA ROOT EXTRACT1</v>
          </cell>
          <cell r="Q980">
            <v>219.91375499999995</v>
          </cell>
        </row>
        <row r="981">
          <cell r="G981" t="str">
            <v>BIOLANDSOPHORA ROOT POWDER1</v>
          </cell>
          <cell r="Q981">
            <v>1369.1620049999999</v>
          </cell>
        </row>
        <row r="982">
          <cell r="G982" t="str">
            <v>BIOLANDSPARASSIS CRISP EXTRACT10</v>
          </cell>
          <cell r="Q982">
            <v>131.94660499999998</v>
          </cell>
        </row>
        <row r="983">
          <cell r="G983" t="str">
            <v>IC BIOSPICULE (99%)1</v>
          </cell>
          <cell r="Q983">
            <v>6905.0684999999994</v>
          </cell>
        </row>
        <row r="984">
          <cell r="G984" t="str">
            <v>SPEC CHEMSPONGE SPICULE0,5</v>
          </cell>
          <cell r="Q984">
            <v>3399.0365999999995</v>
          </cell>
        </row>
        <row r="985">
          <cell r="G985" t="str">
            <v>SPEC CHEMSPONGE SPICULE1</v>
          </cell>
          <cell r="Q985">
            <v>2955.6839999999997</v>
          </cell>
        </row>
        <row r="986">
          <cell r="G986" t="str">
            <v>SPEC CHEMSPONGE SPICULE5</v>
          </cell>
          <cell r="Q986">
            <v>2570.16</v>
          </cell>
        </row>
        <row r="987">
          <cell r="G987" t="str">
            <v>BIOLANDSPRINGTHESKIN5</v>
          </cell>
          <cell r="Q987">
            <v>148.97250499999998</v>
          </cell>
        </row>
        <row r="988">
          <cell r="G988" t="str">
            <v>CODIFSTOECHIOL1</v>
          </cell>
          <cell r="Q988">
            <v>1399.9710209799998</v>
          </cell>
        </row>
        <row r="989">
          <cell r="G989" t="str">
            <v>CODIFSTOECHIOL4</v>
          </cell>
          <cell r="Q989">
            <v>1189.3475920000001</v>
          </cell>
        </row>
        <row r="990">
          <cell r="G990" t="str">
            <v>ECOORISUPERSURF SOLUMIX PCO25</v>
          </cell>
          <cell r="Q990">
            <v>34.56</v>
          </cell>
        </row>
        <row r="991">
          <cell r="G991" t="str">
            <v>MICRO POWDERSSYNSCRUB 100PC25</v>
          </cell>
          <cell r="Q991">
            <v>59.402159999999995</v>
          </cell>
        </row>
        <row r="992">
          <cell r="G992" t="str">
            <v>MICRO POWDERSSYNSCRUB 100PC70</v>
          </cell>
          <cell r="Q992">
            <v>51.323963636363629</v>
          </cell>
        </row>
        <row r="993">
          <cell r="G993" t="str">
            <v>MICRO POWDERSSYNSCRUB 1435PC25</v>
          </cell>
          <cell r="Q993">
            <v>41.486339999999998</v>
          </cell>
        </row>
        <row r="994">
          <cell r="G994" t="str">
            <v>MICRO POWDERSSYNSCRUB 1435PC70</v>
          </cell>
          <cell r="Q994">
            <v>35.036854545454545</v>
          </cell>
        </row>
        <row r="995">
          <cell r="G995" t="str">
            <v>MICRO POWDERSSYNSCRUB 164BKS1</v>
          </cell>
          <cell r="Q995">
            <v>72.795249999999996</v>
          </cell>
        </row>
        <row r="996">
          <cell r="G996" t="str">
            <v>MICRO POWDERSSYNSCRUB 164BKS5</v>
          </cell>
          <cell r="Q996">
            <v>66.177499999999995</v>
          </cell>
        </row>
        <row r="997">
          <cell r="G997" t="str">
            <v>MICRO POWDERSSYNSCRUB 164BKS25</v>
          </cell>
          <cell r="Q997">
            <v>60.161363636363625</v>
          </cell>
        </row>
        <row r="998">
          <cell r="G998" t="str">
            <v>MICRO POWDERSSYNSCRUB 164BLS1</v>
          </cell>
          <cell r="Q998">
            <v>81.370927000000023</v>
          </cell>
        </row>
        <row r="999">
          <cell r="G999" t="str">
            <v>MICRO POWDERSSYNSCRUB 164BLS5</v>
          </cell>
          <cell r="Q999">
            <v>73.973570000000009</v>
          </cell>
        </row>
        <row r="1000">
          <cell r="G1000" t="str">
            <v>MICRO POWDERSSYNSCRUB 164BLS25</v>
          </cell>
          <cell r="Q1000">
            <v>67.248699999999999</v>
          </cell>
        </row>
        <row r="1001">
          <cell r="G1001" t="str">
            <v>MICRO POWDERSSYNSCRUB 164BLS70</v>
          </cell>
          <cell r="Q1001">
            <v>58.457181818181823</v>
          </cell>
        </row>
        <row r="1002">
          <cell r="G1002" t="str">
            <v>MICRO POWDERSSYNSCRUB 164BRS25</v>
          </cell>
          <cell r="Q1002">
            <v>68.534139999999994</v>
          </cell>
        </row>
        <row r="1003">
          <cell r="G1003" t="str">
            <v>MICRO POWDERSSYNSCRUB 164BRS70</v>
          </cell>
          <cell r="Q1003">
            <v>59.625763636363637</v>
          </cell>
        </row>
        <row r="1004">
          <cell r="G1004" t="str">
            <v>MICRO POWDERSSYNSCRUB 164GRS25</v>
          </cell>
          <cell r="Q1004">
            <v>68.427019999999999</v>
          </cell>
        </row>
        <row r="1005">
          <cell r="G1005" t="str">
            <v>MICRO POWDERSSYNSCRUB 164GRS70</v>
          </cell>
          <cell r="Q1005">
            <v>59.528381818181806</v>
          </cell>
        </row>
        <row r="1006">
          <cell r="G1006" t="str">
            <v>MICRO POWDERSSYNSCRUB 164GRSF (GREEN)1</v>
          </cell>
          <cell r="Q1006">
            <v>84.254412000000016</v>
          </cell>
        </row>
        <row r="1007">
          <cell r="G1007" t="str">
            <v>MICRO POWDERSSYNSCRUB 164GRSF (GREEN)25</v>
          </cell>
          <cell r="Q1007">
            <v>79.540720000000007</v>
          </cell>
        </row>
        <row r="1008">
          <cell r="G1008" t="str">
            <v>MICRO POWDERSSYNSCRUB 164GRSF (GREEN)70</v>
          </cell>
          <cell r="Q1008">
            <v>69.631745454545452</v>
          </cell>
        </row>
        <row r="1009">
          <cell r="G1009" t="str">
            <v>MICRO POWDERSSYNSCRUB 164RS25</v>
          </cell>
          <cell r="Q1009">
            <v>99.170460000000006</v>
          </cell>
        </row>
        <row r="1010">
          <cell r="G1010" t="str">
            <v>MICRO POWDERSSYNSCRUB 164RS70</v>
          </cell>
          <cell r="Q1010">
            <v>87.476963636363635</v>
          </cell>
        </row>
        <row r="1011">
          <cell r="G1011" t="str">
            <v>MICRO POWDERSSYNSCRUB 164S25</v>
          </cell>
          <cell r="Q1011">
            <v>61.116079999999997</v>
          </cell>
        </row>
        <row r="1012">
          <cell r="G1012" t="str">
            <v>MICRO POWDERSSYNSCRUB 164S70</v>
          </cell>
          <cell r="Q1012">
            <v>52.882072727272721</v>
          </cell>
        </row>
        <row r="1013">
          <cell r="G1013" t="str">
            <v>MICRO POWDERSSYNSCRUB 164SF25</v>
          </cell>
          <cell r="Q1013">
            <v>63.124580000000009</v>
          </cell>
        </row>
        <row r="1014">
          <cell r="G1014" t="str">
            <v>MICRO POWDERSSYNSCRUB 164SF70</v>
          </cell>
          <cell r="Q1014">
            <v>54.707981818181807</v>
          </cell>
        </row>
        <row r="1015">
          <cell r="G1015" t="str">
            <v>MICRO POWDERSSYNSCRUB 200GRS1</v>
          </cell>
          <cell r="Q1015">
            <v>74.728148000000019</v>
          </cell>
        </row>
        <row r="1016">
          <cell r="G1016" t="str">
            <v>MICRO POWDERSSYNSCRUB 200GRS5</v>
          </cell>
          <cell r="Q1016">
            <v>67.934680000000014</v>
          </cell>
        </row>
        <row r="1017">
          <cell r="G1017" t="str">
            <v>MICRO POWDERSSYNSCRUB 200GRS25</v>
          </cell>
          <cell r="Q1017">
            <v>64.704599999999999</v>
          </cell>
        </row>
        <row r="1018">
          <cell r="G1018" t="str">
            <v>MICRO POWDERSSYNSCRUB 200GRS70</v>
          </cell>
          <cell r="Q1018">
            <v>56.144363636363636</v>
          </cell>
        </row>
        <row r="1019">
          <cell r="G1019" t="str">
            <v>MICRO POWDERSSYNSCRUB 20PC1</v>
          </cell>
          <cell r="Q1019">
            <v>44.138960800000014</v>
          </cell>
        </row>
        <row r="1020">
          <cell r="G1020" t="str">
            <v>MICRO POWDERSSYNSCRUB 20PC5</v>
          </cell>
          <cell r="Q1020">
            <v>40.126328000000008</v>
          </cell>
        </row>
        <row r="1021">
          <cell r="G1021" t="str">
            <v>MICRO POWDERSSYNSCRUB 20PC25</v>
          </cell>
          <cell r="Q1021">
            <v>39.424279999999996</v>
          </cell>
        </row>
        <row r="1022">
          <cell r="G1022" t="str">
            <v>MICRO POWDERSSYNSCRUB 20PC70</v>
          </cell>
          <cell r="Q1022">
            <v>33.162254545454545</v>
          </cell>
        </row>
        <row r="1023">
          <cell r="G1023" t="str">
            <v>MICRO POWDERSSYNSCRUB 35PC25</v>
          </cell>
          <cell r="Q1023">
            <v>40.950740000000003</v>
          </cell>
        </row>
        <row r="1024">
          <cell r="G1024" t="str">
            <v>MICRO POWDERSSYNSCRUB 35PC70</v>
          </cell>
          <cell r="Q1024">
            <v>34.549945454545458</v>
          </cell>
        </row>
        <row r="1025">
          <cell r="G1025" t="str">
            <v>MICRO POWDERSSYNSCRUB 50BLS25</v>
          </cell>
          <cell r="Q1025">
            <v>69.364320000000006</v>
          </cell>
        </row>
        <row r="1026">
          <cell r="G1026" t="str">
            <v>MICRO POWDERSSYNSCRUB 50BLS70</v>
          </cell>
          <cell r="Q1026">
            <v>60.380472727272739</v>
          </cell>
        </row>
        <row r="1027">
          <cell r="G1027" t="str">
            <v>MICRO POWDERSSYNSCRUB 50PC25</v>
          </cell>
          <cell r="Q1027">
            <v>42.959240000000001</v>
          </cell>
        </row>
        <row r="1028">
          <cell r="G1028" t="str">
            <v>MICRO POWDERSSYNSCRUB 50PC70</v>
          </cell>
          <cell r="Q1028">
            <v>36.375854545454544</v>
          </cell>
        </row>
        <row r="1029">
          <cell r="G1029" t="str">
            <v>MICRO POWDERSSYNSCRUB 80PC25</v>
          </cell>
          <cell r="Q1029">
            <v>52.439360000000008</v>
          </cell>
        </row>
        <row r="1030">
          <cell r="G1030" t="str">
            <v>MICRO POWDERSSYNSCRUB 80PC70</v>
          </cell>
          <cell r="Q1030">
            <v>44.994145454545453</v>
          </cell>
        </row>
        <row r="1031">
          <cell r="G1031" t="str">
            <v>MICRO POWDERSSYNSCRUB BERRY 3060S1</v>
          </cell>
          <cell r="Q1031">
            <v>83.995634800000019</v>
          </cell>
        </row>
        <row r="1032">
          <cell r="G1032" t="str">
            <v>MICRO POWDERSSYNSCRUB BERRY 3060S5</v>
          </cell>
          <cell r="Q1032">
            <v>76.359667999999999</v>
          </cell>
        </row>
        <row r="1033">
          <cell r="G1033" t="str">
            <v>MICRO POWDERSSYNSCRUB BERRY 3060S25</v>
          </cell>
          <cell r="Q1033">
            <v>72.363680000000002</v>
          </cell>
        </row>
        <row r="1034">
          <cell r="G1034" t="str">
            <v>MICRO POWDERSSYNSCRUB BERRY 3060S70</v>
          </cell>
          <cell r="Q1034">
            <v>63.10716363636363</v>
          </cell>
        </row>
        <row r="1035">
          <cell r="G1035" t="str">
            <v>MICRO POWDERSSYNSCRUB ORANGE 1420S25</v>
          </cell>
          <cell r="Q1035">
            <v>68.48</v>
          </cell>
        </row>
        <row r="1036">
          <cell r="G1036" t="str">
            <v>MICRO POWDERSSYNSCRUB ORANGE 1420S70</v>
          </cell>
          <cell r="Q1036">
            <v>59.577072727272721</v>
          </cell>
        </row>
        <row r="1037">
          <cell r="G1037" t="str">
            <v>BIOLANDTEA TREE EXTRACT5</v>
          </cell>
          <cell r="Q1037">
            <v>191.53725499999999</v>
          </cell>
        </row>
        <row r="1038">
          <cell r="G1038" t="str">
            <v>DERMALABTEA TREE EXTRACT(HD)5</v>
          </cell>
          <cell r="Q1038">
            <v>132.46715555555559</v>
          </cell>
        </row>
        <row r="1039">
          <cell r="G1039" t="str">
            <v>IC BIOTECA SX1</v>
          </cell>
          <cell r="Q1039">
            <v>1306.9669999999999</v>
          </cell>
        </row>
        <row r="1040">
          <cell r="G1040" t="str">
            <v>IC BIOTECAOIL10</v>
          </cell>
          <cell r="Q1040">
            <v>770.51209999999992</v>
          </cell>
        </row>
        <row r="1041">
          <cell r="G1041" t="str">
            <v>TAEKYUNGTELIKA_100SA10</v>
          </cell>
          <cell r="Q1041">
            <v>230.57258009731962</v>
          </cell>
        </row>
        <row r="1042">
          <cell r="G1042" t="str">
            <v>TAEKYUNGTELIKA_SA10</v>
          </cell>
          <cell r="Q1042">
            <v>201.1640181544812</v>
          </cell>
        </row>
        <row r="1043">
          <cell r="G1043" t="str">
            <v>ACTERATERABOND20</v>
          </cell>
          <cell r="Q1043">
            <v>216.9120540884378</v>
          </cell>
        </row>
        <row r="1044">
          <cell r="G1044" t="str">
            <v>ACTERATERACEUTIC FERMENT20</v>
          </cell>
          <cell r="Q1044">
            <v>204.395282761125</v>
          </cell>
        </row>
        <row r="1045">
          <cell r="G1045" t="str">
            <v>CODIFTHALITAN G5</v>
          </cell>
          <cell r="Q1045">
            <v>180.69734918799998</v>
          </cell>
        </row>
        <row r="1046">
          <cell r="G1046" t="str">
            <v>CODIFTHALITAN P5</v>
          </cell>
          <cell r="Q1046">
            <v>201.7259176238</v>
          </cell>
        </row>
        <row r="1047">
          <cell r="G1047" t="str">
            <v>CODIFTHALITAN P1</v>
          </cell>
          <cell r="Q1047">
            <v>231.98480526736998</v>
          </cell>
        </row>
        <row r="1048">
          <cell r="G1048" t="str">
            <v>CODIFTHALITAN P30</v>
          </cell>
          <cell r="Q1048">
            <v>174.98331335999998</v>
          </cell>
        </row>
        <row r="1049">
          <cell r="G1049" t="str">
            <v>UNIPOWDERSTi-02 LL(605301)25</v>
          </cell>
          <cell r="Q1049">
            <v>67.685168887967336</v>
          </cell>
        </row>
        <row r="1050">
          <cell r="G1050" t="str">
            <v>UNIPOWDERSTi-02 SG（605304S）25</v>
          </cell>
          <cell r="Q1050">
            <v>48.62314616069461</v>
          </cell>
        </row>
        <row r="1051">
          <cell r="G1051" t="str">
            <v>UNIPOWDERSTi-02PF(605801)25</v>
          </cell>
          <cell r="Q1051">
            <v>127.56234616069462</v>
          </cell>
        </row>
        <row r="1052">
          <cell r="G1052" t="str">
            <v>UNIPOWDERSTi-02TMS(605903)25</v>
          </cell>
          <cell r="Q1052">
            <v>43.465187069785514</v>
          </cell>
        </row>
        <row r="1053">
          <cell r="G1053" t="str">
            <v>UNIPOWDERSTi-18 CER（605907)25</v>
          </cell>
          <cell r="Q1053">
            <v>50.865737069785503</v>
          </cell>
        </row>
        <row r="1054">
          <cell r="G1054" t="str">
            <v>CHEMAXCELTRANEXAMIC ACID1</v>
          </cell>
          <cell r="Q1054">
            <v>349.71718750000002</v>
          </cell>
        </row>
        <row r="1055">
          <cell r="G1055" t="str">
            <v>CHEMAXCELTRANEXAMIC ACID25</v>
          </cell>
          <cell r="Q1055">
            <v>252.50449999999995</v>
          </cell>
        </row>
        <row r="1056">
          <cell r="G1056" t="str">
            <v>SPEC CHEMTRANEXAMIC ACID1</v>
          </cell>
          <cell r="Q1056">
            <v>346.49843750000002</v>
          </cell>
        </row>
        <row r="1057">
          <cell r="G1057" t="str">
            <v>SPEC CHEMTRANEXAMIC ACID5</v>
          </cell>
          <cell r="Q1057">
            <v>260.03379999999999</v>
          </cell>
        </row>
        <row r="1058">
          <cell r="G1058" t="str">
            <v>SPEC CHEMTRANEXAMIC ACID25</v>
          </cell>
          <cell r="Q1058">
            <v>200.02599999999998</v>
          </cell>
        </row>
        <row r="1059">
          <cell r="G1059" t="str">
            <v>SPEC CHEMTREHALOSE25</v>
          </cell>
          <cell r="Q1059">
            <v>55.68</v>
          </cell>
        </row>
        <row r="1060">
          <cell r="G1060" t="str">
            <v>BIOLANDTREMELLA FUCIFORMIS EXTRACT (WHD)20</v>
          </cell>
          <cell r="Q1060">
            <v>157.485455</v>
          </cell>
        </row>
        <row r="1061">
          <cell r="G1061" t="str">
            <v>NORMACTIVETRI MEA5</v>
          </cell>
          <cell r="Q1061">
            <v>624.88636363636363</v>
          </cell>
        </row>
        <row r="1062">
          <cell r="G1062" t="str">
            <v>NORMACTIVETRI MEA25</v>
          </cell>
          <cell r="Q1062">
            <v>478.24999999999994</v>
          </cell>
        </row>
        <row r="1063">
          <cell r="G1063" t="str">
            <v>NORMACTIVETRI MEA100</v>
          </cell>
          <cell r="Q1063">
            <v>375.16363636363633</v>
          </cell>
        </row>
        <row r="1064">
          <cell r="G1064" t="str">
            <v>SPEC CHEMTRIPEPTIDE TR41 SOLUTION1</v>
          </cell>
          <cell r="Q1064">
            <v>250.08</v>
          </cell>
        </row>
        <row r="1065">
          <cell r="G1065" t="str">
            <v>UNIPOWDERSTrulybright pearl 172 IF-golden(611827)25</v>
          </cell>
          <cell r="Q1065">
            <v>202.24062343342186</v>
          </cell>
        </row>
        <row r="1066">
          <cell r="G1066" t="str">
            <v>UNIPOWDERSTrulybright pearl 173 golden（611825）25</v>
          </cell>
          <cell r="Q1066">
            <v>125.99253252433095</v>
          </cell>
        </row>
        <row r="1067">
          <cell r="G1067" t="str">
            <v>UNIPOWDERSTrulybright pearl 174 bronze（611824)25</v>
          </cell>
          <cell r="Q1067">
            <v>125.99253252433095</v>
          </cell>
        </row>
        <row r="1068">
          <cell r="G1068" t="str">
            <v>UNIPOWDERSTrulybright pearl 175 Brown（611822）25</v>
          </cell>
          <cell r="Q1068">
            <v>125.99253252433095</v>
          </cell>
        </row>
        <row r="1069">
          <cell r="G1069" t="str">
            <v>DERMALABTURMERIC EXTRACT(HD)5</v>
          </cell>
          <cell r="Q1069">
            <v>154.47207555555556</v>
          </cell>
        </row>
        <row r="1070">
          <cell r="G1070" t="str">
            <v>ACTERATXVECTOR1</v>
          </cell>
          <cell r="Q1070">
            <v>2739.3700042023193</v>
          </cell>
        </row>
        <row r="1071">
          <cell r="G1071" t="str">
            <v>ACTERATXVECTOR5</v>
          </cell>
          <cell r="Q1071">
            <v>1750.2626462555181</v>
          </cell>
        </row>
        <row r="1072">
          <cell r="G1072" t="str">
            <v>BIOLANDULMUS EXTRACT(J TYPE)1</v>
          </cell>
          <cell r="Q1072">
            <v>205.725505</v>
          </cell>
        </row>
        <row r="1073">
          <cell r="G1073" t="str">
            <v>UNIPOWDERSUni-BIS 46(607010SM)25</v>
          </cell>
          <cell r="Q1073">
            <v>155.69211434251278</v>
          </cell>
        </row>
        <row r="1074">
          <cell r="G1074" t="str">
            <v>UNIPOWDERSUNI-BN2831(608102SM)25</v>
          </cell>
          <cell r="Q1074">
            <v>158.83127343342184</v>
          </cell>
        </row>
        <row r="1075">
          <cell r="G1075" t="str">
            <v>UNIPOWDERSUNI-SIL 609(611951S)25</v>
          </cell>
          <cell r="Q1075">
            <v>67.097870378876408</v>
          </cell>
        </row>
        <row r="1076">
          <cell r="G1076" t="str">
            <v>DERMALABVERBENA EXTRACT(HD)5</v>
          </cell>
          <cell r="Q1076">
            <v>124.84515555555558</v>
          </cell>
        </row>
        <row r="1077">
          <cell r="G1077" t="str">
            <v>ACTERAVISILIFT1</v>
          </cell>
          <cell r="Q1077">
            <v>1801.6820529691083</v>
          </cell>
        </row>
        <row r="1078">
          <cell r="G1078" t="str">
            <v>ACTERAVISILIFT5</v>
          </cell>
          <cell r="Q1078">
            <v>862.58832538551815</v>
          </cell>
        </row>
        <row r="1079">
          <cell r="G1079" t="str">
            <v>BIOLANDVITAHERB COMPLEX20</v>
          </cell>
          <cell r="Q1079">
            <v>135.35178500000001</v>
          </cell>
        </row>
        <row r="1080">
          <cell r="G1080" t="str">
            <v>CODIFVITASMOOTHY PDO1</v>
          </cell>
          <cell r="Q1080">
            <v>682.92243027100005</v>
          </cell>
        </row>
        <row r="1081">
          <cell r="G1081" t="str">
            <v>CODIFVITASMOOTHY PDO5</v>
          </cell>
          <cell r="Q1081">
            <v>593.8455915400001</v>
          </cell>
        </row>
        <row r="1082">
          <cell r="G1082" t="str">
            <v>WINKEYWACTIVE BAKUCHIOL1</v>
          </cell>
          <cell r="Q1082">
            <v>5359.7308888888892</v>
          </cell>
        </row>
        <row r="1083">
          <cell r="G1083" t="str">
            <v>WINKEYWACTIVE BAKUCHIOL5</v>
          </cell>
          <cell r="Q1083">
            <v>4084.7511111111112</v>
          </cell>
        </row>
        <row r="1084">
          <cell r="G1084" t="str">
            <v>WINKEYWACTIVE CAMELLIA SQUALANE1</v>
          </cell>
          <cell r="Q1084">
            <v>366.3080555555556</v>
          </cell>
        </row>
        <row r="1085">
          <cell r="G1085" t="str">
            <v>WINKEYWACTIVE CAMELLIA SQUALANE5</v>
          </cell>
          <cell r="Q1085">
            <v>186.40711111111113</v>
          </cell>
        </row>
        <row r="1086">
          <cell r="G1086" t="str">
            <v>WINKEYWACTIVE CERAMIDE COMPLEX1</v>
          </cell>
          <cell r="Q1086">
            <v>892.49500000000012</v>
          </cell>
        </row>
        <row r="1087">
          <cell r="G1087" t="str">
            <v>WINKEYWACTIVE CERAMIDE COMPLEX5</v>
          </cell>
          <cell r="Q1087">
            <v>558.03111111111116</v>
          </cell>
        </row>
        <row r="1088">
          <cell r="G1088" t="str">
            <v>WINKEYWACTIVE HPR-101</v>
          </cell>
          <cell r="Q1088">
            <v>1970.1840000000002</v>
          </cell>
        </row>
        <row r="1089">
          <cell r="G1089" t="str">
            <v>WINKEYWACTIVE HPR-105</v>
          </cell>
          <cell r="Q1089">
            <v>1390.2711111111112</v>
          </cell>
        </row>
        <row r="1090">
          <cell r="G1090" t="str">
            <v>WINKEYWACTIVE MA1</v>
          </cell>
          <cell r="Q1090">
            <v>6998.1633333333348</v>
          </cell>
        </row>
        <row r="1091">
          <cell r="G1091" t="str">
            <v>WINKEYWACTIVE MA5</v>
          </cell>
          <cell r="Q1091">
            <v>5622.0833333333339</v>
          </cell>
        </row>
        <row r="1092">
          <cell r="G1092" t="str">
            <v>WINKEYWACTIVE NMN1</v>
          </cell>
          <cell r="Q1092">
            <v>2252.6786666666667</v>
          </cell>
        </row>
        <row r="1093">
          <cell r="G1093" t="str">
            <v>WINKEYWACTIVE NMN5</v>
          </cell>
          <cell r="Q1093">
            <v>1600.3911111111113</v>
          </cell>
        </row>
        <row r="1094">
          <cell r="G1094" t="str">
            <v>WINKEYWACTIVE OAT B-GLUCAN1</v>
          </cell>
          <cell r="Q1094">
            <v>283.2213888888889</v>
          </cell>
        </row>
        <row r="1095">
          <cell r="G1095" t="str">
            <v>WINKEYWACTIVE OAT B-GLUCAN5</v>
          </cell>
          <cell r="Q1095">
            <v>127.07911111111115</v>
          </cell>
        </row>
        <row r="1096">
          <cell r="G1096" t="str">
            <v>WINKEYWACTIVE PIONIN1</v>
          </cell>
          <cell r="Q1096">
            <v>36826.62000000001</v>
          </cell>
        </row>
        <row r="1097">
          <cell r="G1097" t="str">
            <v>WINKEYWACTIVE PIONIN5</v>
          </cell>
          <cell r="Q1097">
            <v>33717.785714285717</v>
          </cell>
        </row>
        <row r="1098">
          <cell r="G1098" t="str">
            <v>WINKEYWACTIVE TRI-CALMIN1</v>
          </cell>
          <cell r="Q1098">
            <v>615.56805555555559</v>
          </cell>
        </row>
        <row r="1099">
          <cell r="G1099" t="str">
            <v>WINKEYWACTIVE TRI-CALMIN5</v>
          </cell>
          <cell r="Q1099">
            <v>364.39111111111117</v>
          </cell>
        </row>
        <row r="1100">
          <cell r="G1100" t="str">
            <v>WINKEYWACTIVE® DER-XYLOSE E301</v>
          </cell>
          <cell r="Q1100">
            <v>632.87777777777774</v>
          </cell>
        </row>
        <row r="1101">
          <cell r="G1101" t="str">
            <v>WINKEYWACTIVE® DER-XYLOSE E305</v>
          </cell>
          <cell r="Q1101">
            <v>376.75111111111119</v>
          </cell>
        </row>
        <row r="1102">
          <cell r="G1102" t="str">
            <v>WINKEYWACTIVE® EGT1</v>
          </cell>
          <cell r="Q1102">
            <v>20681.37</v>
          </cell>
        </row>
        <row r="1103">
          <cell r="G1103" t="str">
            <v>WINKEYWACTIVE® EGT5</v>
          </cell>
          <cell r="Q1103">
            <v>17532.071428571431</v>
          </cell>
        </row>
        <row r="1104">
          <cell r="G1104" t="str">
            <v>WINKEYWACTIVE® PRINSEPIA FERM1</v>
          </cell>
          <cell r="Q1104">
            <v>472.02611111111111</v>
          </cell>
        </row>
        <row r="1105">
          <cell r="G1105" t="str">
            <v>WINKEYWACTIVE® PRINSEPIA FERM5</v>
          </cell>
          <cell r="Q1105">
            <v>254.38711111111115</v>
          </cell>
        </row>
        <row r="1106">
          <cell r="G1106" t="str">
            <v>WINKEYWACTIVE®AD1</v>
          </cell>
          <cell r="Q1106">
            <v>615.56805555555559</v>
          </cell>
        </row>
        <row r="1107">
          <cell r="G1107" t="str">
            <v>WINKEYWACTIVE®AD5</v>
          </cell>
          <cell r="Q1107">
            <v>364.39111111111117</v>
          </cell>
        </row>
        <row r="1108">
          <cell r="G1108" t="str">
            <v>WINKEYWACTIVE®PRINSEPIA OIL1</v>
          </cell>
          <cell r="Q1108">
            <v>588.81666666666672</v>
          </cell>
        </row>
        <row r="1109">
          <cell r="G1109" t="str">
            <v>WINKEYWACTIVE®PRINSEPIA OIL5</v>
          </cell>
          <cell r="Q1109">
            <v>340.70111111111112</v>
          </cell>
        </row>
        <row r="1110">
          <cell r="G1110" t="str">
            <v>DERMALABWAKAME EXTRACT(HD)5</v>
          </cell>
          <cell r="Q1110">
            <v>124.54027555555557</v>
          </cell>
        </row>
        <row r="1111">
          <cell r="G1111" t="str">
            <v>CODIFWAKAPAMP0,4</v>
          </cell>
          <cell r="Q1111">
            <v>2802.89595766291</v>
          </cell>
        </row>
        <row r="1112">
          <cell r="G1112" t="str">
            <v>CODIFWAKAPAMP1</v>
          </cell>
          <cell r="Q1112">
            <v>2397.9602862104284</v>
          </cell>
        </row>
        <row r="1113">
          <cell r="G1113" t="str">
            <v>CODIFWAKAPAMP4</v>
          </cell>
          <cell r="Q1113">
            <v>2078.9977464200001</v>
          </cell>
        </row>
        <row r="1114">
          <cell r="G1114" t="str">
            <v>DERMALABWHITE CALMING CARE(GHD)5</v>
          </cell>
          <cell r="Q1114">
            <v>154.47207555555556</v>
          </cell>
        </row>
        <row r="1115">
          <cell r="G1115" t="str">
            <v>DERMALABWHITENERGY5</v>
          </cell>
          <cell r="Q1115">
            <v>163.86979555555556</v>
          </cell>
        </row>
        <row r="1116">
          <cell r="G1116" t="str">
            <v>DERMALABWHITENERGY (PD)5</v>
          </cell>
          <cell r="Q1116">
            <v>163.86979555555556</v>
          </cell>
        </row>
        <row r="1117">
          <cell r="G1117" t="str">
            <v>WINKEYWINPEP DECATIDE1</v>
          </cell>
          <cell r="Q1117">
            <v>494.40000000000003</v>
          </cell>
        </row>
        <row r="1118">
          <cell r="G1118" t="str">
            <v>WINKEYWINPEP DECATIDE5</v>
          </cell>
          <cell r="Q1118">
            <v>277.87111111111119</v>
          </cell>
        </row>
        <row r="1119">
          <cell r="G1119" t="str">
            <v>WINKEYWINPEP SPARIN1</v>
          </cell>
          <cell r="Q1119">
            <v>961.76249999999993</v>
          </cell>
        </row>
        <row r="1120">
          <cell r="G1120" t="str">
            <v>WINKEYWINPEP SPARIN5</v>
          </cell>
          <cell r="Q1120">
            <v>611.59111111111122</v>
          </cell>
        </row>
        <row r="1121">
          <cell r="G1121" t="str">
            <v>DERMALABWITCH HAZEL EXTRACT(HD)5</v>
          </cell>
          <cell r="Q1121">
            <v>91.975795555555578</v>
          </cell>
        </row>
        <row r="1122">
          <cell r="G1122" t="str">
            <v>WINKEYWKPEP AKINE1</v>
          </cell>
          <cell r="Q1122">
            <v>1371.9600000000003</v>
          </cell>
        </row>
        <row r="1123">
          <cell r="G1123" t="str">
            <v>WINKEYWKPEP AKINE5</v>
          </cell>
          <cell r="Q1123">
            <v>945.31111111111113</v>
          </cell>
        </row>
        <row r="1124">
          <cell r="G1124" t="str">
            <v>WINKEYWKPEP ANTI-ACNE PEPTIDE1</v>
          </cell>
          <cell r="Q1124">
            <v>979.07222222222231</v>
          </cell>
        </row>
        <row r="1125">
          <cell r="G1125" t="str">
            <v>WINKEYWKPEP ANTI-ACNE PEPTIDE5</v>
          </cell>
          <cell r="Q1125">
            <v>623.95111111111123</v>
          </cell>
        </row>
        <row r="1126">
          <cell r="G1126" t="str">
            <v>WINKEYWKPEP ARGINE 500 PLUS1</v>
          </cell>
          <cell r="Q1126">
            <v>529.0194444444445</v>
          </cell>
        </row>
        <row r="1127">
          <cell r="G1127" t="str">
            <v>WINKEYWKPEP ARGINE 500 PLUS5</v>
          </cell>
          <cell r="Q1127">
            <v>302.59111111111116</v>
          </cell>
        </row>
        <row r="1128">
          <cell r="G1128" t="str">
            <v>WINKEYWKPEP ARGINE PLUS1</v>
          </cell>
          <cell r="Q1128">
            <v>667.49722222222226</v>
          </cell>
        </row>
        <row r="1129">
          <cell r="G1129" t="str">
            <v>WINKEYWKPEP ARGINE PLUS5</v>
          </cell>
          <cell r="Q1129">
            <v>401.47111111111116</v>
          </cell>
        </row>
        <row r="1130">
          <cell r="G1130" t="str">
            <v>WINKEYWKPEP CAFFYTIDE S1</v>
          </cell>
          <cell r="Q1130">
            <v>2067.7456000000002</v>
          </cell>
        </row>
        <row r="1131">
          <cell r="G1131" t="str">
            <v>WINKEYWKPEP CAFFYTIDE S5</v>
          </cell>
          <cell r="Q1131">
            <v>1468.9631111111114</v>
          </cell>
        </row>
        <row r="1132">
          <cell r="G1132" t="str">
            <v>WINKEYWKPEP CARNOSINE1</v>
          </cell>
          <cell r="Q1132">
            <v>1143.3000000000002</v>
          </cell>
        </row>
        <row r="1133">
          <cell r="G1133" t="str">
            <v>WINKEYWKPEP CLP2 PLUS1</v>
          </cell>
          <cell r="Q1133">
            <v>1256.0277777777778</v>
          </cell>
        </row>
        <row r="1134">
          <cell r="G1134" t="str">
            <v>WINKEYWKPEP CLP2 PLUS5</v>
          </cell>
          <cell r="Q1134">
            <v>821.71111111111111</v>
          </cell>
        </row>
        <row r="1135">
          <cell r="G1135" t="str">
            <v>WINKEYWKPEP CONOPEPTIDE1</v>
          </cell>
          <cell r="Q1135">
            <v>1371.9600000000003</v>
          </cell>
        </row>
        <row r="1136">
          <cell r="G1136" t="str">
            <v>WINKEYWKPEP CONOPEPTIDE5</v>
          </cell>
          <cell r="Q1136">
            <v>945.31111111111113</v>
          </cell>
        </row>
        <row r="1137">
          <cell r="G1137" t="str">
            <v>WINKEYWKPEP COPPER PEPTIDE0,01</v>
          </cell>
          <cell r="Q1137">
            <v>23485.545000000002</v>
          </cell>
        </row>
        <row r="1138">
          <cell r="G1138" t="str">
            <v>WINKEYWKPEP COPPER PEPTIDE0,5</v>
          </cell>
          <cell r="Q1138">
            <v>19915.785714285717</v>
          </cell>
        </row>
        <row r="1139">
          <cell r="G1139" t="str">
            <v>WINKEYWKPEP ERASIN1</v>
          </cell>
          <cell r="Q1139">
            <v>1438.4293333333337</v>
          </cell>
        </row>
        <row r="1140">
          <cell r="G1140" t="str">
            <v>WINKEYWKPEP ERASIN5</v>
          </cell>
          <cell r="Q1140">
            <v>994.7511111111113</v>
          </cell>
        </row>
        <row r="1141">
          <cell r="G1141" t="str">
            <v>WINKEYWKPEP EYEPEP1</v>
          </cell>
          <cell r="Q1141">
            <v>1325.2666666666667</v>
          </cell>
        </row>
        <row r="1142">
          <cell r="G1142" t="str">
            <v>WINKEYWKPEP EYEPEP5</v>
          </cell>
          <cell r="Q1142">
            <v>871.15111111111128</v>
          </cell>
        </row>
        <row r="1143">
          <cell r="G1143" t="str">
            <v>WINKEYWKPEP LIPIDIN1</v>
          </cell>
          <cell r="Q1143">
            <v>979.07222222222231</v>
          </cell>
        </row>
        <row r="1144">
          <cell r="G1144" t="str">
            <v>WINKEYWKPEP LIPIDIN5</v>
          </cell>
          <cell r="Q1144">
            <v>623.95111111111123</v>
          </cell>
        </row>
        <row r="1145">
          <cell r="G1145" t="str">
            <v>WINKEYWKPEP LIP-THICKENIN1</v>
          </cell>
          <cell r="Q1145">
            <v>1338.7253333333333</v>
          </cell>
        </row>
        <row r="1146">
          <cell r="G1146" t="str">
            <v>WINKEYWKPEP LIP-THICKENIN5</v>
          </cell>
          <cell r="Q1146">
            <v>920.59111111111122</v>
          </cell>
        </row>
        <row r="1147">
          <cell r="G1147" t="str">
            <v>WINKEYWKPEP M-30001</v>
          </cell>
          <cell r="Q1147">
            <v>529.0194444444445</v>
          </cell>
        </row>
        <row r="1148">
          <cell r="G1148" t="str">
            <v>WINKEYWKPEP M-30005</v>
          </cell>
          <cell r="Q1148">
            <v>302.59111111111116</v>
          </cell>
        </row>
        <row r="1149">
          <cell r="G1149" t="str">
            <v>WINKEYWKPEP MELIT1</v>
          </cell>
          <cell r="Q1149">
            <v>1256.0277777777778</v>
          </cell>
        </row>
        <row r="1150">
          <cell r="G1150" t="str">
            <v>WINKEYWKPEP MELIT5</v>
          </cell>
          <cell r="Q1150">
            <v>821.71111111111111</v>
          </cell>
        </row>
        <row r="1151">
          <cell r="G1151" t="str">
            <v>WINKEYWKPEP MULTI-SOOTHING PEPTIDES1</v>
          </cell>
          <cell r="Q1151">
            <v>840.59444444444466</v>
          </cell>
        </row>
        <row r="1152">
          <cell r="G1152" t="str">
            <v>WINKEYWKPEP MULTI-SOOTHING PEPTIDES5</v>
          </cell>
          <cell r="Q1152">
            <v>525.07111111111124</v>
          </cell>
        </row>
        <row r="1153">
          <cell r="G1153" t="str">
            <v>WINKEYWKPEP PRO-HAIR1</v>
          </cell>
          <cell r="Q1153">
            <v>979.07222222222231</v>
          </cell>
        </row>
        <row r="1154">
          <cell r="G1154" t="str">
            <v>WINKEYWKPEP PRO-HAIR5</v>
          </cell>
          <cell r="Q1154">
            <v>623.95111111111123</v>
          </cell>
        </row>
        <row r="1155">
          <cell r="G1155" t="str">
            <v>WINKEYWKPEP PRO-LASH1</v>
          </cell>
          <cell r="Q1155">
            <v>2535.1733333333336</v>
          </cell>
        </row>
        <row r="1156">
          <cell r="G1156" t="str">
            <v>WINKEYWKPEP PRO-LASH5</v>
          </cell>
          <cell r="Q1156">
            <v>1810.5111111111114</v>
          </cell>
        </row>
        <row r="1157">
          <cell r="G1157" t="str">
            <v>WINKEYWKPEP SALAREGEN S1</v>
          </cell>
          <cell r="Q1157">
            <v>1587.9853333333335</v>
          </cell>
        </row>
        <row r="1158">
          <cell r="G1158" t="str">
            <v>WINKEYWKPEP SALAREGEN S5</v>
          </cell>
          <cell r="Q1158">
            <v>1105.9911111111112</v>
          </cell>
        </row>
        <row r="1159">
          <cell r="G1159" t="str">
            <v>WINKEYWKPEP SAWMPEPTIDES1</v>
          </cell>
          <cell r="Q1159">
            <v>1704.3066666666668</v>
          </cell>
        </row>
        <row r="1160">
          <cell r="G1160" t="str">
            <v>WINKEYWKPEP SAWMPEPTIDES5</v>
          </cell>
          <cell r="Q1160">
            <v>1192.5111111111112</v>
          </cell>
        </row>
        <row r="1161">
          <cell r="G1161" t="str">
            <v>WINKEYWKPEP SAWMPEPTIDES OA-1.71</v>
          </cell>
          <cell r="Q1161">
            <v>1355.3426666666667</v>
          </cell>
        </row>
        <row r="1162">
          <cell r="G1162" t="str">
            <v>WINKEYWKPEP SAWMPEPTIDES OA-1.75</v>
          </cell>
          <cell r="Q1162">
            <v>932.95111111111123</v>
          </cell>
        </row>
        <row r="1163">
          <cell r="G1163" t="str">
            <v>WINKEYWKPEP SRMPEPTIDES1</v>
          </cell>
          <cell r="Q1163">
            <v>1325.2666666666667</v>
          </cell>
        </row>
        <row r="1164">
          <cell r="G1164" t="str">
            <v>WINKEYWKPEP SRMPEPTIDES5</v>
          </cell>
          <cell r="Q1164">
            <v>871.15111111111128</v>
          </cell>
        </row>
        <row r="1165">
          <cell r="G1165" t="str">
            <v>WINKEYWKPEP SWMPEPTIDES1</v>
          </cell>
          <cell r="Q1165">
            <v>1325.2666666666667</v>
          </cell>
        </row>
        <row r="1166">
          <cell r="G1166" t="str">
            <v>WINKEYWKPEP SWMPEPTIDES5</v>
          </cell>
          <cell r="Q1166">
            <v>871.15111111111128</v>
          </cell>
        </row>
        <row r="1167">
          <cell r="G1167" t="str">
            <v>WINKEYWKPEP WATEREN1</v>
          </cell>
          <cell r="Q1167">
            <v>373.23194444444448</v>
          </cell>
        </row>
        <row r="1168">
          <cell r="G1168" t="str">
            <v>WINKEYWKPEP WATEREN5</v>
          </cell>
          <cell r="Q1168">
            <v>191.35111111111109</v>
          </cell>
        </row>
        <row r="1169">
          <cell r="G1169" t="str">
            <v>WINKEYWKPEP WHITENIN1</v>
          </cell>
          <cell r="Q1169">
            <v>667.49722222222226</v>
          </cell>
        </row>
        <row r="1170">
          <cell r="G1170" t="str">
            <v>WINKEYWKPEP WHITENIN5</v>
          </cell>
          <cell r="Q1170">
            <v>401.47111111111116</v>
          </cell>
        </row>
        <row r="1171">
          <cell r="G1171" t="str">
            <v>WINKEYWKPEP®ANTIPROGERIN1</v>
          </cell>
          <cell r="Q1171">
            <v>771.35555555555572</v>
          </cell>
        </row>
        <row r="1172">
          <cell r="G1172" t="str">
            <v>WINKEYWKPEP®ANTIPROGERIN5</v>
          </cell>
          <cell r="Q1172">
            <v>475.63111111111118</v>
          </cell>
        </row>
        <row r="1173">
          <cell r="G1173" t="str">
            <v>WINKEYWKPEP®ARGINE10001</v>
          </cell>
          <cell r="Q1173">
            <v>667.49722222222226</v>
          </cell>
        </row>
        <row r="1174">
          <cell r="G1174" t="str">
            <v>WINKEYWKPEP®ARGINE10005</v>
          </cell>
          <cell r="Q1174">
            <v>401.47111111111116</v>
          </cell>
        </row>
        <row r="1175">
          <cell r="G1175" t="str">
            <v>WINKEYWKPEP®ARGINE5001</v>
          </cell>
          <cell r="Q1175">
            <v>529.0194444444445</v>
          </cell>
        </row>
        <row r="1176">
          <cell r="G1176" t="str">
            <v>WINKEYWKPEP®ARGINE5005</v>
          </cell>
          <cell r="Q1176">
            <v>302.59111111111116</v>
          </cell>
        </row>
        <row r="1177">
          <cell r="G1177" t="str">
            <v>WINKEYWKPEP®BRIGHTIN1</v>
          </cell>
          <cell r="Q1177">
            <v>1704.3066666666668</v>
          </cell>
        </row>
        <row r="1178">
          <cell r="G1178" t="str">
            <v>WINKEYWKPEP®BRIGHTIN5</v>
          </cell>
          <cell r="Q1178">
            <v>1192.5111111111112</v>
          </cell>
        </row>
        <row r="1179">
          <cell r="G1179" t="str">
            <v>WINKEYWKPEP®CALMIN1</v>
          </cell>
          <cell r="Q1179">
            <v>805.97500000000014</v>
          </cell>
        </row>
        <row r="1180">
          <cell r="G1180" t="str">
            <v>WINKEYWKPEP®CALMIN5</v>
          </cell>
          <cell r="Q1180">
            <v>500.35111111111115</v>
          </cell>
        </row>
        <row r="1181">
          <cell r="G1181" t="str">
            <v>WINKEYWKPEP®CARCININE1</v>
          </cell>
          <cell r="Q1181">
            <v>1371.9600000000003</v>
          </cell>
        </row>
        <row r="1182">
          <cell r="G1182" t="str">
            <v>WINKEYWKPEP®CARCININE5</v>
          </cell>
          <cell r="Q1182">
            <v>945.31111111111113</v>
          </cell>
        </row>
        <row r="1183">
          <cell r="G1183" t="str">
            <v>WINKEYWKPEP®CHRISTAL PEPTIDE1</v>
          </cell>
          <cell r="Q1183">
            <v>1082.9305555555557</v>
          </cell>
        </row>
        <row r="1184">
          <cell r="G1184" t="str">
            <v>WINKEYWKPEP®CHRISTAL PEPTIDE5</v>
          </cell>
          <cell r="Q1184">
            <v>698.1111111111112</v>
          </cell>
        </row>
        <row r="1185">
          <cell r="G1185" t="str">
            <v>WINKEYWKPEP®COLL1</v>
          </cell>
          <cell r="Q1185">
            <v>632.87777777777774</v>
          </cell>
        </row>
        <row r="1186">
          <cell r="G1186" t="str">
            <v>WINKEYWKPEP®COLL5</v>
          </cell>
          <cell r="Q1186">
            <v>376.75111111111119</v>
          </cell>
        </row>
        <row r="1187">
          <cell r="G1187" t="str">
            <v>WINKEYWKPEP®DEBAGIN1</v>
          </cell>
          <cell r="Q1187">
            <v>1186.788888888889</v>
          </cell>
        </row>
        <row r="1188">
          <cell r="G1188" t="str">
            <v>WINKEYWKPEP®DEBAGIN5</v>
          </cell>
          <cell r="Q1188">
            <v>772.27111111111117</v>
          </cell>
        </row>
        <row r="1189">
          <cell r="G1189" t="str">
            <v>WINKEYWKPEP®DECIRCLIN1</v>
          </cell>
          <cell r="Q1189">
            <v>1117.5500000000002</v>
          </cell>
        </row>
        <row r="1190">
          <cell r="G1190" t="str">
            <v>WINKEYWKPEP®DECIRCLIN5</v>
          </cell>
          <cell r="Q1190">
            <v>722.83111111111123</v>
          </cell>
        </row>
        <row r="1191">
          <cell r="G1191" t="str">
            <v>WINKEYWKPEP®DEPUFFIN1</v>
          </cell>
          <cell r="Q1191">
            <v>1013.6916666666668</v>
          </cell>
        </row>
        <row r="1192">
          <cell r="G1192" t="str">
            <v>WINKEYWKPEP®DEPUFFIN5</v>
          </cell>
          <cell r="Q1192">
            <v>648.67111111111114</v>
          </cell>
        </row>
        <row r="1193">
          <cell r="G1193" t="str">
            <v>WINKEYWKPEP®DESCARIN1</v>
          </cell>
          <cell r="Q1193">
            <v>632.87777777777774</v>
          </cell>
        </row>
        <row r="1194">
          <cell r="G1194" t="str">
            <v>WINKEYWKPEP®DESCARIN5</v>
          </cell>
          <cell r="Q1194">
            <v>376.75111111111119</v>
          </cell>
        </row>
        <row r="1195">
          <cell r="G1195" t="str">
            <v>WINKEYWKPEP®ELASTIN1</v>
          </cell>
          <cell r="Q1195">
            <v>563.63888888888891</v>
          </cell>
        </row>
        <row r="1196">
          <cell r="G1196" t="str">
            <v>WINKEYWKPEP®ELASTIN5</v>
          </cell>
          <cell r="Q1196">
            <v>327.31111111111113</v>
          </cell>
        </row>
        <row r="1197">
          <cell r="G1197" t="str">
            <v>WINKEYWKPEP®EYEPEP1</v>
          </cell>
          <cell r="Q1197">
            <v>3544.2872222222222</v>
          </cell>
        </row>
        <row r="1198">
          <cell r="G1198" t="str">
            <v>WINKEYWKPEP®EYEPEP5</v>
          </cell>
          <cell r="Q1198">
            <v>2675.7111111111112</v>
          </cell>
        </row>
        <row r="1199">
          <cell r="G1199" t="str">
            <v>WINKEYWKPEP®FACEPEP021</v>
          </cell>
          <cell r="Q1199">
            <v>1013.6916666666668</v>
          </cell>
        </row>
        <row r="1200">
          <cell r="G1200" t="str">
            <v>WINKEYWKPEP®FACEPEP025</v>
          </cell>
          <cell r="Q1200">
            <v>648.67111111111114</v>
          </cell>
        </row>
        <row r="1201">
          <cell r="G1201" t="str">
            <v>WINKEYWKPEP®LASH1</v>
          </cell>
          <cell r="Q1201">
            <v>1082.9305555555557</v>
          </cell>
        </row>
        <row r="1202">
          <cell r="G1202" t="str">
            <v>WINKEYWKPEP®LASH5</v>
          </cell>
          <cell r="Q1202">
            <v>698.1111111111112</v>
          </cell>
        </row>
        <row r="1203">
          <cell r="G1203" t="str">
            <v>WINKEYWKPEP®LEISUREPEPIDE1</v>
          </cell>
          <cell r="Q1203">
            <v>840.59444444444466</v>
          </cell>
        </row>
        <row r="1204">
          <cell r="G1204" t="str">
            <v>WINKEYWKPEP®LEISUREPEPIDE5</v>
          </cell>
          <cell r="Q1204">
            <v>525.07111111111124</v>
          </cell>
        </row>
        <row r="1205">
          <cell r="G1205" t="str">
            <v>WINKEYWKPEP®LIPIDIN OIL1</v>
          </cell>
          <cell r="Q1205">
            <v>1335.6525000000001</v>
          </cell>
        </row>
        <row r="1206">
          <cell r="G1206" t="str">
            <v>WINKEYWKPEP®LIPIDIN OIL5</v>
          </cell>
          <cell r="Q1206">
            <v>878.5671111111111</v>
          </cell>
        </row>
        <row r="1207">
          <cell r="G1207" t="str">
            <v>WINKEYWKPEP®M3000 AO – 0,51</v>
          </cell>
          <cell r="Q1207">
            <v>1355.3426666666667</v>
          </cell>
        </row>
        <row r="1208">
          <cell r="G1208" t="str">
            <v>WINKEYWKPEP®M3000 AO – 0,55</v>
          </cell>
          <cell r="Q1208">
            <v>932.95111111111123</v>
          </cell>
        </row>
        <row r="1209">
          <cell r="G1209" t="str">
            <v>WINKEYWKPEP®M3000-TETRA1</v>
          </cell>
          <cell r="Q1209">
            <v>442.47083333333336</v>
          </cell>
        </row>
        <row r="1210">
          <cell r="G1210" t="str">
            <v>WINKEYWKPEP®M3000-TETRA5</v>
          </cell>
          <cell r="Q1210">
            <v>240.79111111111115</v>
          </cell>
        </row>
        <row r="1211">
          <cell r="G1211" t="str">
            <v>WINKEYWKPEP®M3000-TRI1</v>
          </cell>
          <cell r="Q1211">
            <v>494.40000000000003</v>
          </cell>
        </row>
        <row r="1212">
          <cell r="G1212" t="str">
            <v>WINKEYWKPEP®M3000-TRI5</v>
          </cell>
          <cell r="Q1212">
            <v>277.87111111111119</v>
          </cell>
        </row>
        <row r="1213">
          <cell r="G1213" t="str">
            <v>WINKEYWKPEP®M-SYNTHETIC 61</v>
          </cell>
          <cell r="Q1213">
            <v>944.45277777777801</v>
          </cell>
        </row>
        <row r="1214">
          <cell r="G1214" t="str">
            <v>WINKEYWKPEP®M-SYNTHETIC 65</v>
          </cell>
          <cell r="Q1214">
            <v>599.2311111111112</v>
          </cell>
        </row>
        <row r="1215">
          <cell r="G1215" t="str">
            <v>WINKEYWKPEP®M-TIDE1</v>
          </cell>
          <cell r="Q1215">
            <v>529.0194444444445</v>
          </cell>
        </row>
        <row r="1216">
          <cell r="G1216" t="str">
            <v>WINKEYWKPEP®M-TIDE5</v>
          </cell>
          <cell r="Q1216">
            <v>302.59111111111116</v>
          </cell>
        </row>
        <row r="1217">
          <cell r="G1217" t="str">
            <v>WINKEYWKPEP®MULTI-SOOTHING PEPTIDES OIL1</v>
          </cell>
          <cell r="Q1217">
            <v>961.76249999999993</v>
          </cell>
        </row>
        <row r="1218">
          <cell r="G1218" t="str">
            <v>WINKEYWKPEP®MULTI-SOOTHING PEPTIDES OIL5</v>
          </cell>
          <cell r="Q1218">
            <v>611.59111111111122</v>
          </cell>
        </row>
        <row r="1219">
          <cell r="G1219" t="str">
            <v>WINKEYWKPEP®OCTA1</v>
          </cell>
          <cell r="Q1219">
            <v>979.07222222222231</v>
          </cell>
        </row>
        <row r="1220">
          <cell r="G1220" t="str">
            <v>WINKEYWKPEP®OCTA5</v>
          </cell>
          <cell r="Q1220">
            <v>623.95111111111123</v>
          </cell>
        </row>
        <row r="1221">
          <cell r="G1221" t="str">
            <v>WINKEYWKPEP®PGSH PLUS1</v>
          </cell>
          <cell r="Q1221">
            <v>1325.2666666666667</v>
          </cell>
        </row>
        <row r="1222">
          <cell r="G1222" t="str">
            <v>WINKEYWKPEP®PGSH PLUS5</v>
          </cell>
          <cell r="Q1222">
            <v>871.15111111111128</v>
          </cell>
        </row>
        <row r="1223">
          <cell r="G1223" t="str">
            <v>WINKEYWKPEP®PPOLIGOPEPTIDE-11</v>
          </cell>
          <cell r="Q1223">
            <v>28159.170000000002</v>
          </cell>
        </row>
        <row r="1224">
          <cell r="G1224" t="str">
            <v>WINKEYWKPEP®PPOLIGOPEPTIDE-15</v>
          </cell>
          <cell r="Q1224">
            <v>23888.642857142859</v>
          </cell>
        </row>
        <row r="1225">
          <cell r="G1225" t="str">
            <v>WINKEYWKPEP®PRO-BROW1</v>
          </cell>
          <cell r="Q1225">
            <v>1186.788888888889</v>
          </cell>
        </row>
        <row r="1226">
          <cell r="G1226" t="str">
            <v>WINKEYWKPEP®PRO-BROW5</v>
          </cell>
          <cell r="Q1226">
            <v>772.27111111111117</v>
          </cell>
        </row>
        <row r="1227">
          <cell r="G1227" t="str">
            <v>WINKEYWKPEP®REPAIRIN1</v>
          </cell>
          <cell r="Q1227">
            <v>1065.6208333333334</v>
          </cell>
        </row>
        <row r="1228">
          <cell r="G1228" t="str">
            <v>WINKEYWKPEP®REPAIRIN5</v>
          </cell>
          <cell r="Q1228">
            <v>685.75111111111119</v>
          </cell>
        </row>
        <row r="1229">
          <cell r="G1229" t="str">
            <v>WINKEYWKPEP®SAWMPEPTIDE SX1</v>
          </cell>
          <cell r="Q1229">
            <v>1087.9088888888891</v>
          </cell>
        </row>
        <row r="1230">
          <cell r="G1230" t="str">
            <v>WINKEYWKPEP®SAWMPEPTIDESX5</v>
          </cell>
          <cell r="Q1230">
            <v>895.87111111111119</v>
          </cell>
        </row>
        <row r="1231">
          <cell r="G1231" t="str">
            <v>WINKEYWKPEP®SOLIGOPEPTIDE-1PLUS1</v>
          </cell>
          <cell r="Q1231">
            <v>1031.0013888888891</v>
          </cell>
        </row>
        <row r="1232">
          <cell r="G1232" t="str">
            <v>WINKEYWKPEP®SOLIGOPEPTIDE-1PLUS5</v>
          </cell>
          <cell r="Q1232">
            <v>661.03111111111116</v>
          </cell>
        </row>
        <row r="1233">
          <cell r="G1233" t="str">
            <v>WINKEYWKPEP®WHITENIN PLUS1</v>
          </cell>
          <cell r="Q1233">
            <v>1371.9600000000003</v>
          </cell>
        </row>
        <row r="1234">
          <cell r="G1234" t="str">
            <v>WINKEYWKPEP®WHITENIN PLUS5</v>
          </cell>
          <cell r="Q1234">
            <v>945.31111111111113</v>
          </cell>
        </row>
        <row r="1235">
          <cell r="G1235" t="str">
            <v>UNIPOWDERSY-075 CER（609332）25</v>
          </cell>
          <cell r="Q1235">
            <v>89.766683433421875</v>
          </cell>
        </row>
        <row r="1236">
          <cell r="G1236" t="str">
            <v>DERMALABYOGABIOTICS5</v>
          </cell>
          <cell r="Q1236">
            <v>187.7822755555556</v>
          </cell>
        </row>
        <row r="1237">
          <cell r="G1237" t="str">
            <v>DERMALABYOGABIOTICS(GHD)5</v>
          </cell>
          <cell r="Q1237">
            <v>187.7822755555556</v>
          </cell>
        </row>
        <row r="1238">
          <cell r="G1238" t="str">
            <v>UNIPOWDERSYP-75LL Plus(609854)25</v>
          </cell>
          <cell r="Q1238">
            <v>82.881601615240044</v>
          </cell>
        </row>
        <row r="1239">
          <cell r="G1239" t="str">
            <v>UNIPOWDERSYP－75PF(609511)25</v>
          </cell>
          <cell r="Q1239">
            <v>160.22402070614916</v>
          </cell>
        </row>
        <row r="1240">
          <cell r="G1240" t="str">
            <v>UNIPOWDERSYP-75SG（609901S）25</v>
          </cell>
          <cell r="Q1240">
            <v>81.045579797058238</v>
          </cell>
        </row>
        <row r="1241">
          <cell r="G1241" t="str">
            <v>UNIPOWDERSYP-75TMS（609317）25</v>
          </cell>
          <cell r="Q1241">
            <v>80.58657434251279</v>
          </cell>
        </row>
        <row r="1242">
          <cell r="G1242" t="str">
            <v>SPEC CHEMY-POLYGLUTAMIC ACID (10KDA) - LMW0,5</v>
          </cell>
          <cell r="Q1242">
            <v>1847.8319999999999</v>
          </cell>
        </row>
        <row r="1243">
          <cell r="G1243" t="str">
            <v>SPEC CHEMY-POLYGLUTAMIC ACID (10KDA) - LMW1</v>
          </cell>
          <cell r="Q1243">
            <v>1539.86</v>
          </cell>
        </row>
        <row r="1244">
          <cell r="G1244" t="str">
            <v>SPEC CHEMY-POLYGLUTAMIC ACID (2000KDA) - HMW0,5</v>
          </cell>
          <cell r="Q1244">
            <v>1815.192</v>
          </cell>
        </row>
        <row r="1245">
          <cell r="G1245" t="str">
            <v>SPEC CHEMY-POLYGLUTAMIC ACID (2000KDA) - HMW1</v>
          </cell>
          <cell r="Q1245">
            <v>1512.66</v>
          </cell>
        </row>
        <row r="1246">
          <cell r="G1246" t="str">
            <v>SPEC CHEMY-POLYGLUTAMIC ACID (700KDA) - MMW1</v>
          </cell>
          <cell r="Q1246">
            <v>649.94000000000005</v>
          </cell>
        </row>
        <row r="1247">
          <cell r="G1247" t="str">
            <v>GIGA FINEZIGA BIO B2F 1</v>
          </cell>
          <cell r="Q1247">
            <v>840.37904829545437</v>
          </cell>
        </row>
        <row r="1248">
          <cell r="G1248" t="str">
            <v>GIGA FINEZIGA BIO B2F 5</v>
          </cell>
          <cell r="Q1248">
            <v>390.72113636363639</v>
          </cell>
        </row>
        <row r="1249">
          <cell r="G1249" t="str">
            <v>GIGA FINEZIGA BIO B2F 10</v>
          </cell>
          <cell r="Q1249">
            <v>268.66847727272722</v>
          </cell>
        </row>
        <row r="1250">
          <cell r="G1250" t="str">
            <v>GIGA FINEZIGA BIO B2F 25</v>
          </cell>
          <cell r="Q1250">
            <v>197.94914545454543</v>
          </cell>
        </row>
        <row r="1251">
          <cell r="G1251" t="str">
            <v>GIGA FINEZIGA MARINE 2SE1</v>
          </cell>
          <cell r="Q1251">
            <v>838.21955965909092</v>
          </cell>
        </row>
        <row r="1252">
          <cell r="G1252" t="str">
            <v>GIGA FINEZIGA MARINE 2SE5</v>
          </cell>
          <cell r="Q1252">
            <v>389.11059090909089</v>
          </cell>
        </row>
        <row r="1253">
          <cell r="G1253" t="str">
            <v>GIGA FINEZIGA MARINE 2SE10</v>
          </cell>
          <cell r="Q1253">
            <v>267.50176818181819</v>
          </cell>
        </row>
        <row r="1254">
          <cell r="G1254" t="str">
            <v>GIGA FINEZIGA MARINE 2SE25</v>
          </cell>
          <cell r="Q1254">
            <v>197.0457418181818</v>
          </cell>
        </row>
        <row r="1255">
          <cell r="G1255" t="str">
            <v>GIGA FINEZIGA MOIST HYDROGEL L801</v>
          </cell>
          <cell r="Q1255">
            <v>544.81879261363633</v>
          </cell>
        </row>
        <row r="1256">
          <cell r="G1256" t="str">
            <v>GIGA FINEZIGA MOIST HYDROGEL L805</v>
          </cell>
          <cell r="Q1256">
            <v>192.4973666909091</v>
          </cell>
        </row>
        <row r="1257">
          <cell r="G1257" t="str">
            <v>GIGA FINEZIGA MOIST HYDROGEL L8010</v>
          </cell>
          <cell r="Q1257">
            <v>118.9090429090909</v>
          </cell>
        </row>
        <row r="1258">
          <cell r="G1258" t="str">
            <v>GIGA FINEZIGA MOIST HYDROGEL L8025</v>
          </cell>
          <cell r="Q1258">
            <v>78.831330909090909</v>
          </cell>
        </row>
        <row r="1259">
          <cell r="G1259" t="str">
            <v>GIGA FINEZIGA MOIST PM-II1</v>
          </cell>
          <cell r="Q1259">
            <v>964.81958096590904</v>
          </cell>
        </row>
        <row r="1260">
          <cell r="G1260" t="str">
            <v>GIGA FINEZIGA MOIST PM-II5</v>
          </cell>
          <cell r="Q1260">
            <v>483.52881818181811</v>
          </cell>
        </row>
        <row r="1261">
          <cell r="G1261" t="str">
            <v>GIGA FINEZIGA MOIST PM-II10</v>
          </cell>
          <cell r="Q1261">
            <v>335.90008863636365</v>
          </cell>
        </row>
        <row r="1262">
          <cell r="G1262" t="str">
            <v>GIGA FINEZIGA MOIST PM-II25</v>
          </cell>
          <cell r="Q1262">
            <v>250.00777999999997</v>
          </cell>
        </row>
        <row r="1263">
          <cell r="G1263" t="str">
            <v>GIGA FINEZIGABIO CGF-751</v>
          </cell>
          <cell r="Q1263">
            <v>678.30942613636364</v>
          </cell>
        </row>
        <row r="1264">
          <cell r="G1264" t="str">
            <v>GIGA FINEZIGABIO CGF-755</v>
          </cell>
          <cell r="Q1264">
            <v>291.86943552000002</v>
          </cell>
        </row>
        <row r="1265">
          <cell r="G1265" t="str">
            <v>GIGA FINEZIGABIO CGF-7510</v>
          </cell>
          <cell r="Q1265">
            <v>188.35123840000003</v>
          </cell>
        </row>
        <row r="1266">
          <cell r="G1266" t="str">
            <v>GIGA FINEZIGABIO CGF-7525</v>
          </cell>
          <cell r="Q1266">
            <v>130.14870254545457</v>
          </cell>
        </row>
        <row r="1267">
          <cell r="G1267" t="str">
            <v>IPELZINC PYRITHIONE 50%1</v>
          </cell>
          <cell r="Q1267">
            <v>52.623999999999995</v>
          </cell>
        </row>
        <row r="1268">
          <cell r="G1268" t="str">
            <v>IPELZINC PYRITHIONE 50%20</v>
          </cell>
          <cell r="Q1268">
            <v>40.479999999999997</v>
          </cell>
        </row>
        <row r="1269">
          <cell r="G1269" t="str">
            <v>TAEKYUNGZINICA_ 30 AS10</v>
          </cell>
          <cell r="Q1269">
            <v>156.38322521698717</v>
          </cell>
        </row>
        <row r="1270">
          <cell r="G1270" t="str">
            <v>TAEKYUNGZINICA_ 60 AS10</v>
          </cell>
          <cell r="Q1270">
            <v>156.38322521698717</v>
          </cell>
        </row>
        <row r="1271">
          <cell r="G1271" t="str">
            <v>SPEC CHEMECTOINE1</v>
          </cell>
          <cell r="Q1271">
            <v>599.07500000000005</v>
          </cell>
        </row>
        <row r="1272">
          <cell r="G1272" t="str">
            <v>SPEC CHEMECTOINE25</v>
          </cell>
          <cell r="Q1272">
            <v>479.26</v>
          </cell>
        </row>
        <row r="1273">
          <cell r="G1273" t="str">
            <v>SPEC CHEMGLUTATHIONE1</v>
          </cell>
          <cell r="Q1273">
            <v>471.54</v>
          </cell>
        </row>
        <row r="1274">
          <cell r="G1274" t="str">
            <v>SPEC CHEMADENOSINE (ADSN)25</v>
          </cell>
          <cell r="Q1274">
            <v>239.78</v>
          </cell>
        </row>
        <row r="1275">
          <cell r="G1275" t="str">
            <v>WINKEYWKPEP WATEREN 015</v>
          </cell>
          <cell r="Q1275">
            <v>298.57777777777784</v>
          </cell>
        </row>
        <row r="1276">
          <cell r="G1276" t="str">
            <v>CBIOMEYCHRONOSHEN KPDENS N1</v>
          </cell>
          <cell r="Q1276">
            <v>1664.8319999999999</v>
          </cell>
        </row>
        <row r="1277">
          <cell r="G1277" t="str">
            <v>CBIOMEYCHRONOSHEN KPDENS N5</v>
          </cell>
          <cell r="Q1277">
            <v>778.68</v>
          </cell>
        </row>
        <row r="1278">
          <cell r="G1278" t="str">
            <v>SPEC CHEMPOTASSIUM AZELOYL DIGLYCINATE1</v>
          </cell>
          <cell r="Q1278">
            <v>265.54000000000002</v>
          </cell>
        </row>
        <row r="1279">
          <cell r="G1279" t="str">
            <v>BIOLANDGINSENG EXTRACT5</v>
          </cell>
          <cell r="Q1279">
            <v>375.97499999999997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3D07-25E5-4EDB-ADB5-2ECB4634DBFC}">
  <dimension ref="A1:BQ163"/>
  <sheetViews>
    <sheetView tabSelected="1" workbookViewId="0">
      <selection activeCell="D6" sqref="D6"/>
    </sheetView>
  </sheetViews>
  <sheetFormatPr defaultRowHeight="15" x14ac:dyDescent="0.25"/>
  <cols>
    <col min="1" max="1" width="51.7109375" bestFit="1" customWidth="1"/>
    <col min="2" max="31" width="34.140625" bestFit="1" customWidth="1"/>
    <col min="32" max="32" width="37.42578125" bestFit="1" customWidth="1"/>
    <col min="33" max="34" width="34.140625" bestFit="1" customWidth="1"/>
    <col min="35" max="35" width="42.140625" bestFit="1" customWidth="1"/>
    <col min="36" max="40" width="34.140625" bestFit="1" customWidth="1"/>
  </cols>
  <sheetData>
    <row r="1" spans="1:69" x14ac:dyDescent="0.25">
      <c r="A1" s="1" t="s">
        <v>57</v>
      </c>
      <c r="B1" s="1" t="s">
        <v>57</v>
      </c>
      <c r="C1" s="1" t="s">
        <v>57</v>
      </c>
      <c r="D1" s="1" t="s">
        <v>57</v>
      </c>
      <c r="E1" s="1" t="s">
        <v>57</v>
      </c>
      <c r="F1" s="1" t="s">
        <v>57</v>
      </c>
      <c r="G1" s="1" t="s">
        <v>57</v>
      </c>
      <c r="H1" s="1" t="s">
        <v>57</v>
      </c>
      <c r="I1" s="1" t="s">
        <v>57</v>
      </c>
      <c r="J1" s="1" t="s">
        <v>57</v>
      </c>
      <c r="K1" s="1" t="s">
        <v>57</v>
      </c>
      <c r="L1" s="1" t="s">
        <v>57</v>
      </c>
      <c r="M1" s="1" t="s">
        <v>57</v>
      </c>
      <c r="N1" s="1" t="s">
        <v>57</v>
      </c>
      <c r="O1" s="1" t="s">
        <v>57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0</v>
      </c>
      <c r="BM1" s="1" t="s">
        <v>0</v>
      </c>
      <c r="BN1" s="1" t="s">
        <v>0</v>
      </c>
      <c r="BO1" s="1" t="s">
        <v>0</v>
      </c>
      <c r="BP1" s="1" t="s">
        <v>0</v>
      </c>
      <c r="BQ1" s="1" t="s">
        <v>0</v>
      </c>
    </row>
    <row r="2" spans="1:69" ht="18" x14ac:dyDescent="0.25">
      <c r="A2" s="7" t="s">
        <v>58</v>
      </c>
      <c r="B2" s="7" t="s">
        <v>59</v>
      </c>
      <c r="C2" s="7" t="s">
        <v>60</v>
      </c>
      <c r="D2" s="7" t="s">
        <v>61</v>
      </c>
      <c r="E2" s="8" t="s">
        <v>62</v>
      </c>
      <c r="F2" s="9" t="s">
        <v>63</v>
      </c>
      <c r="G2" s="9" t="s">
        <v>64</v>
      </c>
      <c r="H2" s="10" t="s">
        <v>65</v>
      </c>
      <c r="I2" s="10" t="s">
        <v>66</v>
      </c>
      <c r="J2" s="10" t="s">
        <v>67</v>
      </c>
      <c r="K2" s="10" t="s">
        <v>68</v>
      </c>
      <c r="L2" s="10" t="s">
        <v>69</v>
      </c>
      <c r="M2" s="10" t="s">
        <v>70</v>
      </c>
      <c r="N2" s="9" t="s">
        <v>71</v>
      </c>
      <c r="O2" s="9" t="s">
        <v>72</v>
      </c>
      <c r="P2" s="2" t="s">
        <v>73</v>
      </c>
      <c r="Q2" s="2" t="s">
        <v>74</v>
      </c>
      <c r="R2" s="2" t="s">
        <v>75</v>
      </c>
      <c r="S2" s="2" t="s">
        <v>76</v>
      </c>
      <c r="T2" s="2" t="s">
        <v>77</v>
      </c>
      <c r="U2" s="2" t="s">
        <v>78</v>
      </c>
      <c r="V2" s="2" t="s">
        <v>79</v>
      </c>
      <c r="W2" s="2" t="s">
        <v>80</v>
      </c>
      <c r="X2" s="2" t="s">
        <v>81</v>
      </c>
      <c r="Y2" s="2" t="s">
        <v>82</v>
      </c>
      <c r="Z2" s="2" t="s">
        <v>83</v>
      </c>
      <c r="AA2" s="2" t="s">
        <v>84</v>
      </c>
      <c r="AB2" s="2" t="s">
        <v>85</v>
      </c>
      <c r="AC2" s="2" t="s">
        <v>1</v>
      </c>
      <c r="AD2" s="2" t="s">
        <v>2</v>
      </c>
      <c r="AE2" s="2" t="s">
        <v>3</v>
      </c>
      <c r="AF2" s="2" t="s">
        <v>4</v>
      </c>
      <c r="AG2" s="2" t="s">
        <v>5</v>
      </c>
      <c r="AH2" s="2" t="s">
        <v>6</v>
      </c>
      <c r="AI2" s="2" t="s">
        <v>7</v>
      </c>
      <c r="AJ2" s="2" t="s">
        <v>8</v>
      </c>
      <c r="AK2" s="2" t="s">
        <v>9</v>
      </c>
      <c r="AL2" s="2" t="s">
        <v>10</v>
      </c>
      <c r="AM2" s="2" t="s">
        <v>11</v>
      </c>
      <c r="AN2" s="2" t="s">
        <v>12</v>
      </c>
      <c r="AO2" s="2" t="s">
        <v>13</v>
      </c>
      <c r="AP2" s="2" t="s">
        <v>14</v>
      </c>
      <c r="AQ2" s="2" t="s">
        <v>15</v>
      </c>
      <c r="AR2" s="2" t="s">
        <v>16</v>
      </c>
      <c r="AS2" s="2" t="s">
        <v>17</v>
      </c>
      <c r="AT2" s="2" t="s">
        <v>18</v>
      </c>
      <c r="AU2" s="2" t="s">
        <v>19</v>
      </c>
      <c r="AV2" s="2" t="s">
        <v>20</v>
      </c>
      <c r="AW2" s="2" t="s">
        <v>21</v>
      </c>
      <c r="AX2" s="2" t="s">
        <v>22</v>
      </c>
      <c r="AY2" s="2" t="s">
        <v>23</v>
      </c>
      <c r="AZ2" s="2" t="s">
        <v>24</v>
      </c>
      <c r="BA2" s="2" t="s">
        <v>25</v>
      </c>
      <c r="BB2" s="2" t="s">
        <v>26</v>
      </c>
      <c r="BC2" s="2" t="s">
        <v>27</v>
      </c>
      <c r="BD2" s="2" t="s">
        <v>28</v>
      </c>
      <c r="BE2" s="2" t="s">
        <v>29</v>
      </c>
      <c r="BF2" s="2" t="s">
        <v>30</v>
      </c>
      <c r="BG2" s="2" t="s">
        <v>31</v>
      </c>
      <c r="BH2" s="2" t="s">
        <v>32</v>
      </c>
      <c r="BI2" s="2" t="s">
        <v>33</v>
      </c>
      <c r="BJ2" s="2" t="s">
        <v>34</v>
      </c>
      <c r="BK2" s="2" t="s">
        <v>35</v>
      </c>
      <c r="BL2" s="2" t="s">
        <v>36</v>
      </c>
      <c r="BM2" s="2" t="s">
        <v>37</v>
      </c>
      <c r="BN2" s="2" t="s">
        <v>38</v>
      </c>
      <c r="BO2" s="2" t="s">
        <v>39</v>
      </c>
      <c r="BP2" s="2" t="s">
        <v>40</v>
      </c>
      <c r="BQ2" s="2" t="s">
        <v>41</v>
      </c>
    </row>
    <row r="3" spans="1:69" x14ac:dyDescent="0.25">
      <c r="A3" s="11" t="str">
        <f>LEFT([1]!MOVIMENTACOES[[#This Row],[Código]],9)</f>
        <v>008008003</v>
      </c>
      <c r="B3" s="11" t="s">
        <v>86</v>
      </c>
      <c r="C3" s="11" t="str">
        <f>TRIM(IFERROR(LEFT([1]!MOVIMENTACOES[[#This Row],[Descrição]],SEARCH([1]!MOVIMENTACOES[[#This Row],[EMBALAGEM]],[1]!MOVIMENTACOES[[#This Row],[Descrição]],1)-1),[1]!MOVIMENTACOES[[#This Row],[Descrição]]))</f>
        <v>INNOVA CHARCOAL F-79</v>
      </c>
      <c r="D3" s="11" t="str">
        <f>_xlfn.CONCAT([1]!MOVIMENTACOES[[#This Row],[FABRICANTE]],[1]!MOVIMENTACOES[[#This Row],[DESCRIÇÃO SEM EMBALAGEM]],[1]!MOVIMENTACOES[[#This Row],[Coluna1]])</f>
        <v>KPTINNOVA CHARCOAL F-7920</v>
      </c>
      <c r="E3" s="12">
        <f>_xlfn.XLOOKUP([1]!MOVIMENTACOES[[#This Row],[CONCAT]],'[2]PRICE LIST'!$G:$G,'[2]PRICE LIST'!$Q:$Q,"VERIFICAR",0,1)</f>
        <v>233.33333333333334</v>
      </c>
      <c r="F3" s="13">
        <f>_xlfn.XLOOKUP([1]!MOVIMENTACOES[[#This Row],[Data]],[1]PTAX!A:A,[1]PTAX!C:C,"VERIFICAR",0,1)*[1]!MOVIMENTACOES[[#This Row],[PREÇO DE LISTA DOLAR]]</f>
        <v>1268.05</v>
      </c>
      <c r="G3" s="14">
        <f>[1]!MOVIMENTACOES[[#This Row],[PREÇO NET]]-[1]!MOVIMENTACOES[[#This Row],[PREÇO DE LISTA REAL]]</f>
        <v>-281.22887500000002</v>
      </c>
      <c r="H3" s="15">
        <f>-[1]!MOVIMENTACOES[[#This Row],[DESCONTO CONCEDIDO]]/[1]!MOVIMENTACOES[[#This Row],[PREÇO DE LISTA REAL]]</f>
        <v>0.2217805883048776</v>
      </c>
      <c r="I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986.82112499999994</v>
      </c>
      <c r="J3" s="15">
        <f>VLOOKUP([1]!MOVIMENTACOES[[#This Row],[DESC %]],[1]!DESC[#Data],2,TRUE)</f>
        <v>2.5000000000000001E-3</v>
      </c>
      <c r="K3" s="15">
        <f>_xlfn.XLOOKUP([1]!MOVIMENTACOES[[#This Row],[NF-e]],'[1]PEDIDOS E COMISSOES'!A:A,'[1]PEDIDOS E COMISSOES'!E:E,"VERIFICAR",0,1)</f>
        <v>-4.5000000000000005E-3</v>
      </c>
      <c r="L3" s="15">
        <f>IF([1]!MOVIMENTACOES[[#This Row],[PERCENTUAL DE COMISSÕES]]+[1]!MOVIMENTACOES[[#This Row],[AJUSTE COMISSÃO]]&lt;0.06%,0.05%,[1]!MOVIMENTACOES[[#This Row],[PERCENTUAL DE COMISSÕES]]+[1]!MOVIMENTACOES[[#This Row],[AJUSTE COMISSÃO]])</f>
        <v>5.0000000000000001E-4</v>
      </c>
      <c r="M3" s="16">
        <f>[1]!MOVIMENTACOES[[#This Row],[COMISSÃO FINAL]]*([1]!MOVIMENTACOES[[#This Row],[PREÇO NET]]*[1]!MOVIMENTACOES[[#This Row],[Qtde]])</f>
        <v>197.36422499999998</v>
      </c>
      <c r="N3" s="14" t="str">
        <f>_xlfn.XLOOKUP(LEFT([1]!MOVIMENTACOES[[#This Row],[Código]],3),'[1]BASE DE FABRICANTES'!A:A,'[1]BASE DE FABRICANTES'!B:B,"VERIFICAR",0,1)</f>
        <v>KPT</v>
      </c>
      <c r="O3" s="14">
        <f>[1]!MOVIMENTACOES[[#This Row],[PREÇO NET]]*[1]!MOVIMENTACOES[[#This Row],[Qtde]]</f>
        <v>394728.44999999995</v>
      </c>
      <c r="P3" s="3" t="s">
        <v>87</v>
      </c>
      <c r="Q3" s="3" t="s">
        <v>88</v>
      </c>
      <c r="R3" s="3" t="s">
        <v>49</v>
      </c>
      <c r="S3" s="3" t="s">
        <v>89</v>
      </c>
      <c r="T3" s="6">
        <v>46027</v>
      </c>
      <c r="U3" s="6" t="s">
        <v>90</v>
      </c>
      <c r="V3" s="3" t="s">
        <v>91</v>
      </c>
      <c r="W3" s="3"/>
      <c r="X3" s="3"/>
      <c r="Y3" s="3" t="s">
        <v>92</v>
      </c>
      <c r="Z3" s="3" t="s">
        <v>93</v>
      </c>
      <c r="AA3" s="3" t="s">
        <v>94</v>
      </c>
      <c r="AB3" s="3"/>
      <c r="AC3" s="3" t="s">
        <v>95</v>
      </c>
      <c r="AD3" s="3" t="s">
        <v>96</v>
      </c>
      <c r="AE3" s="3" t="s">
        <v>44</v>
      </c>
      <c r="AF3" s="3" t="s">
        <v>45</v>
      </c>
      <c r="AG3" s="3" t="s">
        <v>46</v>
      </c>
      <c r="AH3" s="3" t="s">
        <v>47</v>
      </c>
      <c r="AI3" s="3" t="s">
        <v>48</v>
      </c>
      <c r="AJ3" s="4">
        <v>400</v>
      </c>
      <c r="AK3" s="4">
        <v>1160</v>
      </c>
      <c r="AL3" s="4">
        <v>0</v>
      </c>
      <c r="AM3" s="5">
        <v>521.61035445009998</v>
      </c>
      <c r="AN3" s="5">
        <v>1249.03</v>
      </c>
      <c r="AO3" s="5">
        <v>208644.14178003999</v>
      </c>
      <c r="AP3" s="5">
        <v>499612</v>
      </c>
      <c r="AQ3" s="5">
        <v>499612</v>
      </c>
      <c r="AR3" s="5">
        <v>89930.16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/>
      <c r="AY3" s="5"/>
      <c r="AZ3" s="5"/>
      <c r="BA3" s="5">
        <v>499612</v>
      </c>
      <c r="BB3" s="5">
        <v>32474.78</v>
      </c>
      <c r="BC3" s="5">
        <v>0</v>
      </c>
      <c r="BD3" s="5">
        <v>409681.84</v>
      </c>
      <c r="BE3" s="5">
        <v>2662.93</v>
      </c>
      <c r="BF3" s="5">
        <v>0</v>
      </c>
      <c r="BG3" s="5">
        <v>409681.84</v>
      </c>
      <c r="BH3" s="5">
        <v>12290.46</v>
      </c>
      <c r="BI3" s="5">
        <v>0</v>
      </c>
      <c r="BJ3" s="5">
        <v>0</v>
      </c>
      <c r="BK3" s="5">
        <v>0</v>
      </c>
      <c r="BL3" s="3" t="s">
        <v>49</v>
      </c>
      <c r="BM3" s="3"/>
      <c r="BN3" s="3" t="s">
        <v>97</v>
      </c>
      <c r="BO3" s="3" t="s">
        <v>51</v>
      </c>
      <c r="BP3" s="3" t="s">
        <v>98</v>
      </c>
      <c r="BQ3" s="6">
        <v>46652</v>
      </c>
    </row>
    <row r="4" spans="1:69" x14ac:dyDescent="0.25">
      <c r="A4" s="11" t="str">
        <f>LEFT([1]!MOVIMENTACOES[[#This Row],[Código]],9)</f>
        <v>063004003</v>
      </c>
      <c r="B4" s="11" t="s">
        <v>99</v>
      </c>
      <c r="C4" s="11" t="str">
        <f>TRIM(IFERROR(LEFT([1]!MOVIMENTACOES[[#This Row],[Descrição]],SEARCH([1]!MOVIMENTACOES[[#This Row],[EMBALAGEM]],[1]!MOVIMENTACOES[[#This Row],[Descrição]],1)-1),[1]!MOVIMENTACOES[[#This Row],[Descrição]]))</f>
        <v>MOISTSHIELD HA</v>
      </c>
      <c r="D4" s="11" t="str">
        <f>_xlfn.CONCAT([1]!MOVIMENTACOES[[#This Row],[FABRICANTE]],[1]!MOVIMENTACOES[[#This Row],[DESCRIÇÃO SEM EMBALAGEM]],[1]!MOVIMENTACOES[[#This Row],[Coluna1]])</f>
        <v>IC BIOMOISTSHIELD HA5</v>
      </c>
      <c r="E4" s="12">
        <f>_xlfn.XLOOKUP([1]!MOVIMENTACOES[[#This Row],[CONCAT]],'[2]PRICE LIST'!$G:$G,'[2]PRICE LIST'!$Q:$Q,"VERIFICAR",0,1)</f>
        <v>608.00900000000024</v>
      </c>
      <c r="F4" s="13">
        <f>_xlfn.XLOOKUP([1]!MOVIMENTACOES[[#This Row],[Data]],[1]PTAX!A:A,[1]PTAX!C:C,"VERIFICAR",0,1)*[1]!MOVIMENTACOES[[#This Row],[PREÇO DE LISTA DOLAR]]</f>
        <v>3304.2249105000014</v>
      </c>
      <c r="G4" s="14">
        <f>[1]!MOVIMENTACOES[[#This Row],[PREÇO NET]]-[1]!MOVIMENTACOES[[#This Row],[PREÇO DE LISTA REAL]]</f>
        <v>-1186.7849105000014</v>
      </c>
      <c r="H4" s="15">
        <f>-[1]!MOVIMENTACOES[[#This Row],[DESCONTO CONCEDIDO]]/[1]!MOVIMENTACOES[[#This Row],[PREÇO DE LISTA REAL]]</f>
        <v>0.35917195186341444</v>
      </c>
      <c r="I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2117.44</v>
      </c>
      <c r="J4" s="15">
        <f>VLOOKUP([1]!MOVIMENTACOES[[#This Row],[DESC %]],[1]!DESC[#Data],2,TRUE)</f>
        <v>2.5000000000000001E-3</v>
      </c>
      <c r="K4" s="15">
        <f>_xlfn.XLOOKUP([1]!MOVIMENTACOES[[#This Row],[NF-e]],'[1]PEDIDOS E COMISSOES'!A:A,'[1]PEDIDOS E COMISSOES'!E:E,"VERIFICAR",0,1)</f>
        <v>-1E-3</v>
      </c>
      <c r="L4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4" s="16">
        <f>[1]!MOVIMENTACOES[[#This Row],[COMISSÃO FINAL]]*([1]!MOVIMENTACOES[[#This Row],[PREÇO NET]]*[1]!MOVIMENTACOES[[#This Row],[Qtde]])</f>
        <v>31.761600000000001</v>
      </c>
      <c r="N4" s="14" t="str">
        <f>_xlfn.XLOOKUP(LEFT([1]!MOVIMENTACOES[[#This Row],[Código]],3),'[1]BASE DE FABRICANTES'!A:A,'[1]BASE DE FABRICANTES'!B:B,"VERIFICAR",0,1)</f>
        <v>IC BIO</v>
      </c>
      <c r="O4" s="14">
        <f>[1]!MOVIMENTACOES[[#This Row],[PREÇO NET]]*[1]!MOVIMENTACOES[[#This Row],[Qtde]]</f>
        <v>21174.400000000001</v>
      </c>
      <c r="P4" s="17" t="s">
        <v>100</v>
      </c>
      <c r="Q4" s="17" t="s">
        <v>101</v>
      </c>
      <c r="R4" s="17" t="s">
        <v>49</v>
      </c>
      <c r="S4" s="17" t="s">
        <v>102</v>
      </c>
      <c r="T4" s="18">
        <v>46027</v>
      </c>
      <c r="U4" s="18" t="s">
        <v>103</v>
      </c>
      <c r="V4" s="17" t="s">
        <v>91</v>
      </c>
      <c r="W4" s="17"/>
      <c r="X4" s="17"/>
      <c r="Y4" s="17" t="s">
        <v>104</v>
      </c>
      <c r="Z4" s="17" t="s">
        <v>105</v>
      </c>
      <c r="AA4" s="17" t="s">
        <v>106</v>
      </c>
      <c r="AB4" s="17"/>
      <c r="AC4" s="17" t="s">
        <v>107</v>
      </c>
      <c r="AD4" s="17" t="s">
        <v>108</v>
      </c>
      <c r="AE4" s="17" t="s">
        <v>44</v>
      </c>
      <c r="AF4" s="17" t="s">
        <v>45</v>
      </c>
      <c r="AG4" s="17" t="s">
        <v>46</v>
      </c>
      <c r="AH4" s="17" t="s">
        <v>109</v>
      </c>
      <c r="AI4" s="17" t="s">
        <v>110</v>
      </c>
      <c r="AJ4" s="19">
        <v>10</v>
      </c>
      <c r="AK4" s="19">
        <v>35</v>
      </c>
      <c r="AL4" s="19">
        <v>0</v>
      </c>
      <c r="AM4" s="20">
        <v>226.1667811531</v>
      </c>
      <c r="AN4" s="20">
        <v>2363.0700000000002</v>
      </c>
      <c r="AO4" s="20">
        <v>2261.6678115310001</v>
      </c>
      <c r="AP4" s="20">
        <v>23630.7</v>
      </c>
      <c r="AQ4" s="20">
        <v>23630.7</v>
      </c>
      <c r="AR4" s="20">
        <v>1654.15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/>
      <c r="AY4" s="20"/>
      <c r="AZ4" s="20"/>
      <c r="BA4" s="20">
        <v>23630.7</v>
      </c>
      <c r="BB4" s="20">
        <v>768</v>
      </c>
      <c r="BC4" s="20">
        <v>0</v>
      </c>
      <c r="BD4" s="20">
        <v>21976.55</v>
      </c>
      <c r="BE4" s="20">
        <v>142.85</v>
      </c>
      <c r="BF4" s="20">
        <v>0</v>
      </c>
      <c r="BG4" s="20">
        <v>21976.55</v>
      </c>
      <c r="BH4" s="20">
        <v>659.3</v>
      </c>
      <c r="BI4" s="20">
        <v>0</v>
      </c>
      <c r="BJ4" s="20">
        <v>0</v>
      </c>
      <c r="BK4" s="20">
        <v>0</v>
      </c>
      <c r="BL4" s="17" t="s">
        <v>49</v>
      </c>
      <c r="BM4" s="17"/>
      <c r="BN4" s="17" t="s">
        <v>97</v>
      </c>
      <c r="BO4" s="17" t="s">
        <v>51</v>
      </c>
      <c r="BP4" s="17" t="s">
        <v>111</v>
      </c>
      <c r="BQ4" s="18">
        <v>46640</v>
      </c>
    </row>
    <row r="5" spans="1:69" x14ac:dyDescent="0.25">
      <c r="A5" s="11" t="str">
        <f>LEFT([1]!MOVIMENTACOES[[#This Row],[Código]],9)</f>
        <v>063004003</v>
      </c>
      <c r="B5" s="11" t="s">
        <v>99</v>
      </c>
      <c r="C5" s="11" t="str">
        <f>TRIM(IFERROR(LEFT([1]!MOVIMENTACOES[[#This Row],[Descrição]],SEARCH([1]!MOVIMENTACOES[[#This Row],[EMBALAGEM]],[1]!MOVIMENTACOES[[#This Row],[Descrição]],1)-1),[1]!MOVIMENTACOES[[#This Row],[Descrição]]))</f>
        <v>MOISTSHIELD HA</v>
      </c>
      <c r="D5" s="11" t="str">
        <f>_xlfn.CONCAT([1]!MOVIMENTACOES[[#This Row],[FABRICANTE]],[1]!MOVIMENTACOES[[#This Row],[DESCRIÇÃO SEM EMBALAGEM]],[1]!MOVIMENTACOES[[#This Row],[Coluna1]])</f>
        <v>IC BIOMOISTSHIELD HA5</v>
      </c>
      <c r="E5" s="12">
        <f>_xlfn.XLOOKUP([1]!MOVIMENTACOES[[#This Row],[CONCAT]],'[2]PRICE LIST'!$G:$G,'[2]PRICE LIST'!$Q:$Q,"VERIFICAR",0,1)</f>
        <v>608.00900000000024</v>
      </c>
      <c r="F5" s="13">
        <f>_xlfn.XLOOKUP([1]!MOVIMENTACOES[[#This Row],[Data]],[1]PTAX!A:A,[1]PTAX!C:C,"VERIFICAR",0,1)*[1]!MOVIMENTACOES[[#This Row],[PREÇO DE LISTA DOLAR]]</f>
        <v>3304.2249105000014</v>
      </c>
      <c r="G5" s="14">
        <f>[1]!MOVIMENTACOES[[#This Row],[PREÇO NET]]-[1]!MOVIMENTACOES[[#This Row],[PREÇO DE LISTA REAL]]</f>
        <v>-1181.8709105000012</v>
      </c>
      <c r="H5" s="15">
        <f>-[1]!MOVIMENTACOES[[#This Row],[DESCONTO CONCEDIDO]]/[1]!MOVIMENTACOES[[#This Row],[PREÇO DE LISTA REAL]]</f>
        <v>0.35768476496388324</v>
      </c>
      <c r="I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2122.3540000000003</v>
      </c>
      <c r="J5" s="15">
        <f>VLOOKUP([1]!MOVIMENTACOES[[#This Row],[DESC %]],[1]!DESC[#Data],2,TRUE)</f>
        <v>2.5000000000000001E-3</v>
      </c>
      <c r="K5" s="15">
        <f>_xlfn.XLOOKUP([1]!MOVIMENTACOES[[#This Row],[NF-e]],'[1]PEDIDOS E COMISSOES'!A:A,'[1]PEDIDOS E COMISSOES'!E:E,"VERIFICAR",0,1)</f>
        <v>-1E-3</v>
      </c>
      <c r="L5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5" s="16">
        <f>[1]!MOVIMENTACOES[[#This Row],[COMISSÃO FINAL]]*([1]!MOVIMENTACOES[[#This Row],[PREÇO NET]]*[1]!MOVIMENTACOES[[#This Row],[Qtde]])</f>
        <v>15.917655000000002</v>
      </c>
      <c r="N5" s="14" t="str">
        <f>_xlfn.XLOOKUP(LEFT([1]!MOVIMENTACOES[[#This Row],[Código]],3),'[1]BASE DE FABRICANTES'!A:A,'[1]BASE DE FABRICANTES'!B:B,"VERIFICAR",0,1)</f>
        <v>IC BIO</v>
      </c>
      <c r="O5" s="14">
        <f>[1]!MOVIMENTACOES[[#This Row],[PREÇO NET]]*[1]!MOVIMENTACOES[[#This Row],[Qtde]]</f>
        <v>10611.77</v>
      </c>
      <c r="P5" s="3" t="s">
        <v>100</v>
      </c>
      <c r="Q5" s="3" t="s">
        <v>101</v>
      </c>
      <c r="R5" s="3" t="s">
        <v>49</v>
      </c>
      <c r="S5" s="3" t="s">
        <v>102</v>
      </c>
      <c r="T5" s="6">
        <v>46027</v>
      </c>
      <c r="U5" s="6" t="s">
        <v>112</v>
      </c>
      <c r="V5" s="3" t="s">
        <v>91</v>
      </c>
      <c r="W5" s="3"/>
      <c r="X5" s="3"/>
      <c r="Y5" s="3" t="s">
        <v>113</v>
      </c>
      <c r="Z5" s="3" t="s">
        <v>114</v>
      </c>
      <c r="AA5" s="3" t="s">
        <v>115</v>
      </c>
      <c r="AB5" s="3"/>
      <c r="AC5" s="3" t="s">
        <v>107</v>
      </c>
      <c r="AD5" s="3" t="s">
        <v>108</v>
      </c>
      <c r="AE5" s="3" t="s">
        <v>44</v>
      </c>
      <c r="AF5" s="3" t="s">
        <v>45</v>
      </c>
      <c r="AG5" s="3" t="s">
        <v>46</v>
      </c>
      <c r="AH5" s="3" t="s">
        <v>116</v>
      </c>
      <c r="AI5" s="3" t="s">
        <v>110</v>
      </c>
      <c r="AJ5" s="4">
        <v>5</v>
      </c>
      <c r="AK5" s="4">
        <v>50</v>
      </c>
      <c r="AL5" s="4">
        <v>0</v>
      </c>
      <c r="AM5" s="5">
        <v>226.1667811531</v>
      </c>
      <c r="AN5" s="5">
        <v>2503.13</v>
      </c>
      <c r="AO5" s="5">
        <v>1130.8339057655</v>
      </c>
      <c r="AP5" s="5">
        <v>12515.65</v>
      </c>
      <c r="AQ5" s="5">
        <v>12515.65</v>
      </c>
      <c r="AR5" s="5">
        <v>1501.88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/>
      <c r="AY5" s="5"/>
      <c r="AZ5" s="5"/>
      <c r="BA5" s="5">
        <v>12515.65</v>
      </c>
      <c r="BB5" s="5">
        <v>406.76</v>
      </c>
      <c r="BC5" s="5">
        <v>0</v>
      </c>
      <c r="BD5" s="5">
        <v>11013.77</v>
      </c>
      <c r="BE5" s="5">
        <v>71.59</v>
      </c>
      <c r="BF5" s="5">
        <v>0</v>
      </c>
      <c r="BG5" s="5">
        <v>11013.77</v>
      </c>
      <c r="BH5" s="5">
        <v>330.41</v>
      </c>
      <c r="BI5" s="5">
        <v>0</v>
      </c>
      <c r="BJ5" s="5">
        <v>0</v>
      </c>
      <c r="BK5" s="5">
        <v>0</v>
      </c>
      <c r="BL5" s="3" t="s">
        <v>49</v>
      </c>
      <c r="BM5" s="3"/>
      <c r="BN5" s="3" t="s">
        <v>97</v>
      </c>
      <c r="BO5" s="3" t="s">
        <v>51</v>
      </c>
      <c r="BP5" s="3" t="s">
        <v>111</v>
      </c>
      <c r="BQ5" s="6">
        <v>46640</v>
      </c>
    </row>
    <row r="6" spans="1:69" x14ac:dyDescent="0.25">
      <c r="A6" s="11" t="str">
        <f>LEFT([1]!MOVIMENTACOES[[#This Row],[Código]],9)</f>
        <v>063004003</v>
      </c>
      <c r="B6" s="11" t="s">
        <v>99</v>
      </c>
      <c r="C6" s="11" t="str">
        <f>TRIM(IFERROR(LEFT([1]!MOVIMENTACOES[[#This Row],[Descrição]],SEARCH([1]!MOVIMENTACOES[[#This Row],[EMBALAGEM]],[1]!MOVIMENTACOES[[#This Row],[Descrição]],1)-1),[1]!MOVIMENTACOES[[#This Row],[Descrição]]))</f>
        <v>MOISTSHIELD HA</v>
      </c>
      <c r="D6" s="11" t="str">
        <f>_xlfn.CONCAT([1]!MOVIMENTACOES[[#This Row],[FABRICANTE]],[1]!MOVIMENTACOES[[#This Row],[DESCRIÇÃO SEM EMBALAGEM]],[1]!MOVIMENTACOES[[#This Row],[Coluna1]])</f>
        <v>IC BIOMOISTSHIELD HA5</v>
      </c>
      <c r="E6" s="12">
        <f>_xlfn.XLOOKUP([1]!MOVIMENTACOES[[#This Row],[CONCAT]],'[2]PRICE LIST'!$G:$G,'[2]PRICE LIST'!$Q:$Q,"VERIFICAR",0,1)</f>
        <v>608.00900000000024</v>
      </c>
      <c r="F6" s="13">
        <f>_xlfn.XLOOKUP([1]!MOVIMENTACOES[[#This Row],[Data]],[1]PTAX!A:A,[1]PTAX!C:C,"VERIFICAR",0,1)*[1]!MOVIMENTACOES[[#This Row],[PREÇO DE LISTA DOLAR]]</f>
        <v>3304.2249105000014</v>
      </c>
      <c r="G6" s="14">
        <f>[1]!MOVIMENTACOES[[#This Row],[PREÇO NET]]-[1]!MOVIMENTACOES[[#This Row],[PREÇO DE LISTA REAL]]</f>
        <v>-1181.8709105000012</v>
      </c>
      <c r="H6" s="15">
        <f>-[1]!MOVIMENTACOES[[#This Row],[DESCONTO CONCEDIDO]]/[1]!MOVIMENTACOES[[#This Row],[PREÇO DE LISTA REAL]]</f>
        <v>0.35768476496388324</v>
      </c>
      <c r="I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2122.3540000000003</v>
      </c>
      <c r="J6" s="15">
        <f>VLOOKUP([1]!MOVIMENTACOES[[#This Row],[DESC %]],[1]!DESC[#Data],2,TRUE)</f>
        <v>2.5000000000000001E-3</v>
      </c>
      <c r="K6" s="15">
        <f>_xlfn.XLOOKUP([1]!MOVIMENTACOES[[#This Row],[NF-e]],'[1]PEDIDOS E COMISSOES'!A:A,'[1]PEDIDOS E COMISSOES'!E:E,"VERIFICAR",0,1)</f>
        <v>-1E-3</v>
      </c>
      <c r="L6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6" s="16">
        <f>[1]!MOVIMENTACOES[[#This Row],[COMISSÃO FINAL]]*([1]!MOVIMENTACOES[[#This Row],[PREÇO NET]]*[1]!MOVIMENTACOES[[#This Row],[Qtde]])</f>
        <v>15.917655000000002</v>
      </c>
      <c r="N6" s="14" t="str">
        <f>_xlfn.XLOOKUP(LEFT([1]!MOVIMENTACOES[[#This Row],[Código]],3),'[1]BASE DE FABRICANTES'!A:A,'[1]BASE DE FABRICANTES'!B:B,"VERIFICAR",0,1)</f>
        <v>IC BIO</v>
      </c>
      <c r="O6" s="14">
        <f>[1]!MOVIMENTACOES[[#This Row],[PREÇO NET]]*[1]!MOVIMENTACOES[[#This Row],[Qtde]]</f>
        <v>10611.77</v>
      </c>
      <c r="P6" s="17" t="s">
        <v>100</v>
      </c>
      <c r="Q6" s="17" t="s">
        <v>101</v>
      </c>
      <c r="R6" s="17" t="s">
        <v>49</v>
      </c>
      <c r="S6" s="17" t="s">
        <v>102</v>
      </c>
      <c r="T6" s="18">
        <v>46027</v>
      </c>
      <c r="U6" s="18" t="s">
        <v>112</v>
      </c>
      <c r="V6" s="17" t="s">
        <v>91</v>
      </c>
      <c r="W6" s="17"/>
      <c r="X6" s="17"/>
      <c r="Y6" s="17" t="s">
        <v>113</v>
      </c>
      <c r="Z6" s="17" t="s">
        <v>114</v>
      </c>
      <c r="AA6" s="17" t="s">
        <v>115</v>
      </c>
      <c r="AB6" s="17"/>
      <c r="AC6" s="17" t="s">
        <v>107</v>
      </c>
      <c r="AD6" s="17" t="s">
        <v>108</v>
      </c>
      <c r="AE6" s="17" t="s">
        <v>44</v>
      </c>
      <c r="AF6" s="17" t="s">
        <v>45</v>
      </c>
      <c r="AG6" s="17" t="s">
        <v>46</v>
      </c>
      <c r="AH6" s="17" t="s">
        <v>116</v>
      </c>
      <c r="AI6" s="17" t="s">
        <v>110</v>
      </c>
      <c r="AJ6" s="19">
        <v>5</v>
      </c>
      <c r="AK6" s="19">
        <v>45</v>
      </c>
      <c r="AL6" s="19">
        <v>0</v>
      </c>
      <c r="AM6" s="20">
        <v>226.1667811531</v>
      </c>
      <c r="AN6" s="20">
        <v>2503.13</v>
      </c>
      <c r="AO6" s="20">
        <v>1130.8339057655</v>
      </c>
      <c r="AP6" s="20">
        <v>12515.65</v>
      </c>
      <c r="AQ6" s="20">
        <v>12515.65</v>
      </c>
      <c r="AR6" s="20">
        <v>1501.88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/>
      <c r="AY6" s="20"/>
      <c r="AZ6" s="20"/>
      <c r="BA6" s="20">
        <v>12515.65</v>
      </c>
      <c r="BB6" s="20">
        <v>406.76</v>
      </c>
      <c r="BC6" s="20">
        <v>0</v>
      </c>
      <c r="BD6" s="20">
        <v>11013.77</v>
      </c>
      <c r="BE6" s="20">
        <v>71.59</v>
      </c>
      <c r="BF6" s="20">
        <v>0</v>
      </c>
      <c r="BG6" s="20">
        <v>11013.77</v>
      </c>
      <c r="BH6" s="20">
        <v>330.41</v>
      </c>
      <c r="BI6" s="20">
        <v>0</v>
      </c>
      <c r="BJ6" s="20">
        <v>0</v>
      </c>
      <c r="BK6" s="20">
        <v>0</v>
      </c>
      <c r="BL6" s="17" t="s">
        <v>49</v>
      </c>
      <c r="BM6" s="17"/>
      <c r="BN6" s="17" t="s">
        <v>97</v>
      </c>
      <c r="BO6" s="17" t="s">
        <v>51</v>
      </c>
      <c r="BP6" s="17" t="s">
        <v>117</v>
      </c>
      <c r="BQ6" s="18">
        <v>46653</v>
      </c>
    </row>
    <row r="7" spans="1:69" x14ac:dyDescent="0.25">
      <c r="A7" s="11" t="str">
        <f>LEFT([1]!MOVIMENTACOES[[#This Row],[Código]],9)</f>
        <v>001004043</v>
      </c>
      <c r="B7" s="11" t="s">
        <v>99</v>
      </c>
      <c r="C7" s="11" t="str">
        <f>TRIM(IFERROR(LEFT([1]!MOVIMENTACOES[[#This Row],[Descrição]],SEARCH([1]!MOVIMENTACOES[[#This Row],[EMBALAGEM]],[1]!MOVIMENTACOES[[#This Row],[Descrição]],1)-1),[1]!MOVIMENTACOES[[#This Row],[Descrição]]))</f>
        <v>EPS BRIGHT P</v>
      </c>
      <c r="D7" s="11" t="str">
        <f>_xlfn.CONCAT([1]!MOVIMENTACOES[[#This Row],[FABRICANTE]],[1]!MOVIMENTACOES[[#This Row],[DESCRIÇÃO SEM EMBALAGEM]],[1]!MOVIMENTACOES[[#This Row],[Coluna1]])</f>
        <v>CODIFEPS BRIGHT P5</v>
      </c>
      <c r="E7" s="12">
        <f>_xlfn.XLOOKUP([1]!MOVIMENTACOES[[#This Row],[CONCAT]],'[2]PRICE LIST'!$G:$G,'[2]PRICE LIST'!$Q:$Q,"VERIFICAR",0,1)</f>
        <v>428.40715839999996</v>
      </c>
      <c r="F7" s="13">
        <f>_xlfn.XLOOKUP([1]!MOVIMENTACOES[[#This Row],[Data]],[1]PTAX!A:A,[1]PTAX!C:C,"VERIFICAR",0,1)*[1]!MOVIMENTACOES[[#This Row],[PREÇO DE LISTA DOLAR]]</f>
        <v>2328.1787023247998</v>
      </c>
      <c r="G7" s="14">
        <f>[1]!MOVIMENTACOES[[#This Row],[PREÇO NET]]-[1]!MOVIMENTACOES[[#This Row],[PREÇO DE LISTA REAL]]</f>
        <v>-718.02570232480002</v>
      </c>
      <c r="H7" s="15">
        <f>-[1]!MOVIMENTACOES[[#This Row],[DESCONTO CONCEDIDO]]/[1]!MOVIMENTACOES[[#This Row],[PREÇO DE LISTA REAL]]</f>
        <v>0.30840661054403445</v>
      </c>
      <c r="I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1610.1529999999998</v>
      </c>
      <c r="J7" s="15">
        <f>VLOOKUP([1]!MOVIMENTACOES[[#This Row],[DESC %]],[1]!DESC[#Data],2,TRUE)</f>
        <v>2.5000000000000001E-3</v>
      </c>
      <c r="K7" s="15">
        <f>_xlfn.XLOOKUP([1]!MOVIMENTACOES[[#This Row],[NF-e]],'[1]PEDIDOS E COMISSOES'!A:A,'[1]PEDIDOS E COMISSOES'!E:E,"VERIFICAR",0,1)</f>
        <v>-1E-3</v>
      </c>
      <c r="L7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7" s="16">
        <f>[1]!MOVIMENTACOES[[#This Row],[COMISSÃO FINAL]]*([1]!MOVIMENTACOES[[#This Row],[PREÇO NET]]*[1]!MOVIMENTACOES[[#This Row],[Qtde]])</f>
        <v>24.152294999999999</v>
      </c>
      <c r="N7" s="14" t="str">
        <f>_xlfn.XLOOKUP(LEFT([1]!MOVIMENTACOES[[#This Row],[Código]],3),'[1]BASE DE FABRICANTES'!A:A,'[1]BASE DE FABRICANTES'!B:B,"VERIFICAR",0,1)</f>
        <v>CODIF</v>
      </c>
      <c r="O7" s="14">
        <f>[1]!MOVIMENTACOES[[#This Row],[PREÇO NET]]*[1]!MOVIMENTACOES[[#This Row],[Qtde]]</f>
        <v>16101.529999999999</v>
      </c>
      <c r="P7" s="3" t="s">
        <v>118</v>
      </c>
      <c r="Q7" s="3" t="s">
        <v>119</v>
      </c>
      <c r="R7" s="3" t="s">
        <v>49</v>
      </c>
      <c r="S7" s="3" t="s">
        <v>120</v>
      </c>
      <c r="T7" s="6">
        <v>46027</v>
      </c>
      <c r="U7" s="6" t="s">
        <v>121</v>
      </c>
      <c r="V7" s="3" t="s">
        <v>91</v>
      </c>
      <c r="W7" s="3"/>
      <c r="X7" s="3"/>
      <c r="Y7" s="3" t="s">
        <v>122</v>
      </c>
      <c r="Z7" s="3" t="s">
        <v>123</v>
      </c>
      <c r="AA7" s="3" t="s">
        <v>124</v>
      </c>
      <c r="AB7" s="3"/>
      <c r="AC7" s="3" t="s">
        <v>107</v>
      </c>
      <c r="AD7" s="3" t="s">
        <v>125</v>
      </c>
      <c r="AE7" s="3" t="s">
        <v>44</v>
      </c>
      <c r="AF7" s="3" t="s">
        <v>45</v>
      </c>
      <c r="AG7" s="3" t="s">
        <v>46</v>
      </c>
      <c r="AH7" s="3" t="s">
        <v>116</v>
      </c>
      <c r="AI7" s="3" t="s">
        <v>110</v>
      </c>
      <c r="AJ7" s="4">
        <v>10</v>
      </c>
      <c r="AK7" s="4">
        <v>120</v>
      </c>
      <c r="AL7" s="4">
        <v>0</v>
      </c>
      <c r="AM7" s="5">
        <v>1006.7832976319</v>
      </c>
      <c r="AN7" s="5">
        <v>1740.78</v>
      </c>
      <c r="AO7" s="5">
        <v>10067.832976318999</v>
      </c>
      <c r="AP7" s="5">
        <v>17407.8</v>
      </c>
      <c r="AQ7" s="5">
        <v>17407.8</v>
      </c>
      <c r="AR7" s="5">
        <v>696.31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/>
      <c r="AY7" s="5"/>
      <c r="AZ7" s="5"/>
      <c r="BA7" s="5">
        <v>0</v>
      </c>
      <c r="BB7" s="5">
        <v>0</v>
      </c>
      <c r="BC7" s="5">
        <v>0</v>
      </c>
      <c r="BD7" s="5">
        <v>16711.490000000002</v>
      </c>
      <c r="BE7" s="5">
        <v>108.62</v>
      </c>
      <c r="BF7" s="5">
        <v>0</v>
      </c>
      <c r="BG7" s="5">
        <v>16711.490000000002</v>
      </c>
      <c r="BH7" s="5">
        <v>501.34</v>
      </c>
      <c r="BI7" s="5">
        <v>0</v>
      </c>
      <c r="BJ7" s="5">
        <v>0</v>
      </c>
      <c r="BK7" s="5">
        <v>0</v>
      </c>
      <c r="BL7" s="3" t="s">
        <v>49</v>
      </c>
      <c r="BM7" s="3"/>
      <c r="BN7" s="3" t="s">
        <v>97</v>
      </c>
      <c r="BO7" s="3" t="s">
        <v>51</v>
      </c>
      <c r="BP7" s="3" t="s">
        <v>126</v>
      </c>
      <c r="BQ7" s="6">
        <v>46833</v>
      </c>
    </row>
    <row r="8" spans="1:69" x14ac:dyDescent="0.25">
      <c r="A8" s="11" t="str">
        <f>LEFT([1]!MOVIMENTACOES[[#This Row],[Código]],9)</f>
        <v>067004004</v>
      </c>
      <c r="B8" s="11" t="s">
        <v>86</v>
      </c>
      <c r="C8" s="11" t="str">
        <f>TRIM(IFERROR(LEFT([1]!MOVIMENTACOES[[#This Row],[Descrição]],SEARCH([1]!MOVIMENTACOES[[#This Row],[EMBALAGEM]],[1]!MOVIMENTACOES[[#This Row],[Descrição]],1)-1),[1]!MOVIMENTACOES[[#This Row],[Descrição]]))</f>
        <v>ETHYL ASCORBIC ACID</v>
      </c>
      <c r="D8" s="11" t="str">
        <f>_xlfn.CONCAT([1]!MOVIMENTACOES[[#This Row],[FABRICANTE]],[1]!MOVIMENTACOES[[#This Row],[DESCRIÇÃO SEM EMBALAGEM]],[1]!MOVIMENTACOES[[#This Row],[Coluna1]])</f>
        <v>CHEMAXCELETHYL ASCORBIC ACID20</v>
      </c>
      <c r="E8" s="21">
        <v>388.9</v>
      </c>
      <c r="F8" s="13">
        <f>_xlfn.XLOOKUP([1]!MOVIMENTACOES[[#This Row],[Data]],[1]PTAX!A:A,[1]PTAX!C:C,"VERIFICAR",0,1)*[1]!MOVIMENTACOES[[#This Row],[PREÇO DE LISTA DOLAR]]</f>
        <v>2113.47705</v>
      </c>
      <c r="G8" s="14">
        <f>[1]!MOVIMENTACOES[[#This Row],[PREÇO NET]]-[1]!MOVIMENTACOES[[#This Row],[PREÇO DE LISTA REAL]]</f>
        <v>-840.54635000000007</v>
      </c>
      <c r="H8" s="15">
        <f>-[1]!MOVIMENTACOES[[#This Row],[DESCONTO CONCEDIDO]]/[1]!MOVIMENTACOES[[#This Row],[PREÇO DE LISTA REAL]]</f>
        <v>0.39770781991694687</v>
      </c>
      <c r="I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1272.9306999999999</v>
      </c>
      <c r="J8" s="15">
        <f>VLOOKUP([1]!MOVIMENTACOES[[#This Row],[DESC %]],[1]!DESC[#Data],2,TRUE)</f>
        <v>2.5000000000000001E-3</v>
      </c>
      <c r="K8" s="15">
        <f>_xlfn.XLOOKUP([1]!MOVIMENTACOES[[#This Row],[NF-e]],'[1]PEDIDOS E COMISSOES'!A:A,'[1]PEDIDOS E COMISSOES'!E:E,"VERIFICAR",0,1)</f>
        <v>-1E-3</v>
      </c>
      <c r="L8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8" s="16">
        <f>[1]!MOVIMENTACOES[[#This Row],[COMISSÃO FINAL]]*([1]!MOVIMENTACOES[[#This Row],[PREÇO NET]]*[1]!MOVIMENTACOES[[#This Row],[Qtde]])</f>
        <v>381.87921</v>
      </c>
      <c r="N8" s="14" t="str">
        <f>_xlfn.XLOOKUP(LEFT([1]!MOVIMENTACOES[[#This Row],[Código]],3),'[1]BASE DE FABRICANTES'!A:A,'[1]BASE DE FABRICANTES'!B:B,"VERIFICAR",0,1)</f>
        <v>CHEMAXCEL</v>
      </c>
      <c r="O8" s="14">
        <f>[1]!MOVIMENTACOES[[#This Row],[PREÇO NET]]*[1]!MOVIMENTACOES[[#This Row],[Qtde]]</f>
        <v>254586.13999999998</v>
      </c>
      <c r="P8" s="17" t="s">
        <v>127</v>
      </c>
      <c r="Q8" s="17" t="s">
        <v>128</v>
      </c>
      <c r="R8" s="17" t="s">
        <v>49</v>
      </c>
      <c r="S8" s="17" t="s">
        <v>129</v>
      </c>
      <c r="T8" s="18">
        <v>46027</v>
      </c>
      <c r="U8" s="18" t="s">
        <v>130</v>
      </c>
      <c r="V8" s="17" t="s">
        <v>91</v>
      </c>
      <c r="W8" s="17"/>
      <c r="X8" s="17"/>
      <c r="Y8" s="17" t="s">
        <v>131</v>
      </c>
      <c r="Z8" s="17" t="s">
        <v>132</v>
      </c>
      <c r="AA8" s="17" t="s">
        <v>133</v>
      </c>
      <c r="AB8" s="17"/>
      <c r="AC8" s="17" t="s">
        <v>107</v>
      </c>
      <c r="AD8" s="17" t="s">
        <v>134</v>
      </c>
      <c r="AE8" s="17" t="s">
        <v>44</v>
      </c>
      <c r="AF8" s="17" t="s">
        <v>45</v>
      </c>
      <c r="AG8" s="17" t="s">
        <v>46</v>
      </c>
      <c r="AH8" s="17" t="s">
        <v>116</v>
      </c>
      <c r="AI8" s="17" t="s">
        <v>110</v>
      </c>
      <c r="AJ8" s="19">
        <v>200</v>
      </c>
      <c r="AK8" s="19">
        <v>0</v>
      </c>
      <c r="AL8" s="19">
        <v>0</v>
      </c>
      <c r="AM8" s="20">
        <v>595.60084840390005</v>
      </c>
      <c r="AN8" s="20">
        <v>1501.31</v>
      </c>
      <c r="AO8" s="20">
        <v>119120.16968078</v>
      </c>
      <c r="AP8" s="20">
        <v>300262</v>
      </c>
      <c r="AQ8" s="20">
        <v>300262</v>
      </c>
      <c r="AR8" s="20">
        <v>36031.440000000002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/>
      <c r="AY8" s="20"/>
      <c r="AZ8" s="20"/>
      <c r="BA8" s="20">
        <v>0</v>
      </c>
      <c r="BB8" s="20">
        <v>0</v>
      </c>
      <c r="BC8" s="20">
        <v>0</v>
      </c>
      <c r="BD8" s="20">
        <v>264230.56</v>
      </c>
      <c r="BE8" s="20">
        <v>1717.5</v>
      </c>
      <c r="BF8" s="20">
        <v>0</v>
      </c>
      <c r="BG8" s="20">
        <v>264230.56</v>
      </c>
      <c r="BH8" s="20">
        <v>7926.92</v>
      </c>
      <c r="BI8" s="20">
        <v>0</v>
      </c>
      <c r="BJ8" s="20">
        <v>0</v>
      </c>
      <c r="BK8" s="20">
        <v>0</v>
      </c>
      <c r="BL8" s="17" t="s">
        <v>49</v>
      </c>
      <c r="BM8" s="17"/>
      <c r="BN8" s="17" t="s">
        <v>97</v>
      </c>
      <c r="BO8" s="17" t="s">
        <v>51</v>
      </c>
      <c r="BP8" s="17" t="s">
        <v>135</v>
      </c>
      <c r="BQ8" s="18">
        <v>46641</v>
      </c>
    </row>
    <row r="9" spans="1:69" x14ac:dyDescent="0.25">
      <c r="A9" s="11" t="str">
        <f>LEFT([1]!MOVIMENTACOES[[#This Row],[Código]],9)</f>
        <v>007002001</v>
      </c>
      <c r="B9" s="11" t="s">
        <v>136</v>
      </c>
      <c r="C9" s="11" t="str">
        <f>TRIM(IFERROR(LEFT([1]!MOVIMENTACOES[[#This Row],[Descrição]],SEARCH([1]!MOVIMENTACOES[[#This Row],[EMBALAGEM]],[1]!MOVIMENTACOES[[#This Row],[Descrição]],1)-1),[1]!MOVIMENTACOES[[#This Row],[Descrição]]))</f>
        <v>NATUROIL TRADITION SWEET ALMOND</v>
      </c>
      <c r="D9" s="11" t="str">
        <f>_xlfn.CONCAT([1]!MOVIMENTACOES[[#This Row],[FABRICANTE]],[1]!MOVIMENTACOES[[#This Row],[DESCRIÇÃO SEM EMBALAGEM]],[1]!MOVIMENTACOES[[#This Row],[Coluna1]])</f>
        <v>MPRNATUROIL TRADITION SWEET ALMOND180</v>
      </c>
      <c r="E9" s="22">
        <v>10.89</v>
      </c>
      <c r="F9" s="13">
        <f>_xlfn.XLOOKUP([1]!MOVIMENTACOES[[#This Row],[Data]],[1]PTAX!A:A,[1]PTAX!C:C,"VERIFICAR",0,1)*[1]!MOVIMENTACOES[[#This Row],[PREÇO DE LISTA DOLAR]]</f>
        <v>59.181705000000001</v>
      </c>
      <c r="G9" s="14">
        <f>[1]!MOVIMENTACOES[[#This Row],[PREÇO NET]]-[1]!MOVIMENTACOES[[#This Row],[PREÇO DE LISTA REAL]]</f>
        <v>-29.405797592592599</v>
      </c>
      <c r="H9" s="15">
        <f>-[1]!MOVIMENTACOES[[#This Row],[DESCONTO CONCEDIDO]]/[1]!MOVIMENTACOES[[#This Row],[PREÇO DE LISTA REAL]]</f>
        <v>0.49687310618361868</v>
      </c>
      <c r="I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29.775907407407402</v>
      </c>
      <c r="J9" s="15">
        <f>VLOOKUP([1]!MOVIMENTACOES[[#This Row],[DESC %]],[1]!DESC[#Data],2,TRUE)</f>
        <v>2.5000000000000001E-3</v>
      </c>
      <c r="K9" s="15">
        <f>_xlfn.XLOOKUP([1]!MOVIMENTACOES[[#This Row],[NF-e]],'[1]PEDIDOS E COMISSOES'!A:A,'[1]PEDIDOS E COMISSOES'!E:E,"VERIFICAR",0,1)</f>
        <v>-4.0000000000000001E-3</v>
      </c>
      <c r="L9" s="15">
        <f>IF([1]!MOVIMENTACOES[[#This Row],[PERCENTUAL DE COMISSÕES]]+[1]!MOVIMENTACOES[[#This Row],[AJUSTE COMISSÃO]]&lt;0.06%,0.05%,[1]!MOVIMENTACOES[[#This Row],[PERCENTUAL DE COMISSÕES]]+[1]!MOVIMENTACOES[[#This Row],[AJUSTE COMISSÃO]])</f>
        <v>5.0000000000000001E-4</v>
      </c>
      <c r="M9" s="16">
        <f>[1]!MOVIMENTACOES[[#This Row],[COMISSÃO FINAL]]*([1]!MOVIMENTACOES[[#This Row],[PREÇO NET]]*[1]!MOVIMENTACOES[[#This Row],[Qtde]])</f>
        <v>64.31595999999999</v>
      </c>
      <c r="N9" s="14" t="str">
        <f>_xlfn.XLOOKUP(LEFT([1]!MOVIMENTACOES[[#This Row],[Código]],3),'[1]BASE DE FABRICANTES'!A:A,'[1]BASE DE FABRICANTES'!B:B,"VERIFICAR",0,1)</f>
        <v>MPR</v>
      </c>
      <c r="O9" s="14">
        <f>[1]!MOVIMENTACOES[[#This Row],[PREÇO NET]]*[1]!MOVIMENTACOES[[#This Row],[Qtde]]</f>
        <v>128631.91999999998</v>
      </c>
      <c r="P9" s="3" t="s">
        <v>137</v>
      </c>
      <c r="Q9" s="3" t="s">
        <v>138</v>
      </c>
      <c r="R9" s="3" t="s">
        <v>49</v>
      </c>
      <c r="S9" s="3" t="s">
        <v>139</v>
      </c>
      <c r="T9" s="6">
        <v>46027</v>
      </c>
      <c r="U9" s="6" t="s">
        <v>140</v>
      </c>
      <c r="V9" s="3" t="s">
        <v>91</v>
      </c>
      <c r="W9" s="3"/>
      <c r="X9" s="3"/>
      <c r="Y9" s="3" t="s">
        <v>141</v>
      </c>
      <c r="Z9" s="3" t="s">
        <v>142</v>
      </c>
      <c r="AA9" s="3" t="s">
        <v>143</v>
      </c>
      <c r="AB9" s="3"/>
      <c r="AC9" s="3" t="s">
        <v>144</v>
      </c>
      <c r="AD9" s="3" t="s">
        <v>145</v>
      </c>
      <c r="AE9" s="3" t="s">
        <v>44</v>
      </c>
      <c r="AF9" s="3" t="s">
        <v>45</v>
      </c>
      <c r="AG9" s="3" t="s">
        <v>46</v>
      </c>
      <c r="AH9" s="3" t="s">
        <v>146</v>
      </c>
      <c r="AI9" s="3" t="s">
        <v>147</v>
      </c>
      <c r="AJ9" s="4">
        <v>4320</v>
      </c>
      <c r="AK9" s="4">
        <v>540</v>
      </c>
      <c r="AL9" s="4">
        <v>0</v>
      </c>
      <c r="AM9" s="5">
        <v>18.614000000000001</v>
      </c>
      <c r="AN9" s="5">
        <v>33.229999999999997</v>
      </c>
      <c r="AO9" s="5">
        <v>80412.479999999996</v>
      </c>
      <c r="AP9" s="5">
        <v>143553.60000000001</v>
      </c>
      <c r="AQ9" s="5">
        <v>143553.60000000001</v>
      </c>
      <c r="AR9" s="5">
        <v>10048.75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/>
      <c r="AY9" s="5"/>
      <c r="AZ9" s="5"/>
      <c r="BA9" s="5">
        <v>0</v>
      </c>
      <c r="BB9" s="5">
        <v>0</v>
      </c>
      <c r="BC9" s="5">
        <v>0</v>
      </c>
      <c r="BD9" s="5">
        <v>133504.85</v>
      </c>
      <c r="BE9" s="5">
        <v>867.78</v>
      </c>
      <c r="BF9" s="5">
        <v>0</v>
      </c>
      <c r="BG9" s="5">
        <v>133504.85</v>
      </c>
      <c r="BH9" s="5">
        <v>4005.15</v>
      </c>
      <c r="BI9" s="5">
        <v>0</v>
      </c>
      <c r="BJ9" s="5">
        <v>0</v>
      </c>
      <c r="BK9" s="5">
        <v>0</v>
      </c>
      <c r="BL9" s="3" t="s">
        <v>49</v>
      </c>
      <c r="BM9" s="3"/>
      <c r="BN9" s="3" t="s">
        <v>55</v>
      </c>
      <c r="BO9" s="3" t="s">
        <v>51</v>
      </c>
      <c r="BP9" s="3" t="s">
        <v>148</v>
      </c>
      <c r="BQ9" s="6">
        <v>46546</v>
      </c>
    </row>
    <row r="10" spans="1:69" x14ac:dyDescent="0.25">
      <c r="A10" s="11" t="str">
        <f>LEFT([1]!MOVIMENTACOES[[#This Row],[Código]],9)</f>
        <v>067004008</v>
      </c>
      <c r="B10" s="11" t="s">
        <v>149</v>
      </c>
      <c r="C10" s="11" t="str">
        <f>TRIM(IFERROR(LEFT([1]!MOVIMENTACOES[[#This Row],[Descrição]],SEARCH([1]!MOVIMENTACOES[[#This Row],[EMBALAGEM]],[1]!MOVIMENTACOES[[#This Row],[Descrição]],1)-1),[1]!MOVIMENTACOES[[#This Row],[Descrição]]))</f>
        <v>SODIUM ASCORBYL PHOSPHATE</v>
      </c>
      <c r="D10" s="11" t="str">
        <f>_xlfn.CONCAT([1]!MOVIMENTACOES[[#This Row],[FABRICANTE]],[1]!MOVIMENTACOES[[#This Row],[DESCRIÇÃO SEM EMBALAGEM]],[1]!MOVIMENTACOES[[#This Row],[Coluna1]])</f>
        <v>CHEMAXCELSODIUM ASCORBYL PHOSPHATE1</v>
      </c>
      <c r="E10" s="12">
        <f>_xlfn.XLOOKUP([1]!MOVIMENTACOES[[#This Row],[CONCAT]],'[2]PRICE LIST'!$G:$G,'[2]PRICE LIST'!$Q:$Q,"VERIFICAR",0,1)</f>
        <v>263.03625</v>
      </c>
      <c r="F10" s="13">
        <f>_xlfn.XLOOKUP([1]!MOVIMENTACOES[[#This Row],[Data]],[1]PTAX!A:A,[1]PTAX!C:C,"VERIFICAR",0,1)*[1]!MOVIMENTACOES[[#This Row],[PREÇO DE LISTA DOLAR]]</f>
        <v>1429.4705006249999</v>
      </c>
      <c r="G10" s="14">
        <f>[1]!MOVIMENTACOES[[#This Row],[PREÇO NET]]-[1]!MOVIMENTACOES[[#This Row],[PREÇO DE LISTA REAL]]</f>
        <v>-801.81090062499982</v>
      </c>
      <c r="H10" s="15">
        <f>-[1]!MOVIMENTACOES[[#This Row],[DESCONTO CONCEDIDO]]/[1]!MOVIMENTACOES[[#This Row],[PREÇO DE LISTA REAL]]</f>
        <v>0.56091461857689839</v>
      </c>
      <c r="I1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627.65960000000007</v>
      </c>
      <c r="J10" s="15">
        <f>VLOOKUP([1]!MOVIMENTACOES[[#This Row],[DESC %]],[1]!DESC[#Data],2,TRUE)</f>
        <v>2.5000000000000001E-3</v>
      </c>
      <c r="K10" s="15">
        <f>_xlfn.XLOOKUP([1]!MOVIMENTACOES[[#This Row],[NF-e]],'[1]PEDIDOS E COMISSOES'!A:A,'[1]PEDIDOS E COMISSOES'!E:E,"VERIFICAR",0,1)</f>
        <v>-4.0000000000000001E-3</v>
      </c>
      <c r="L10" s="15">
        <f>IF([1]!MOVIMENTACOES[[#This Row],[PERCENTUAL DE COMISSÕES]]+[1]!MOVIMENTACOES[[#This Row],[AJUSTE COMISSÃO]]&lt;0.06%,0.05%,[1]!MOVIMENTACOES[[#This Row],[PERCENTUAL DE COMISSÕES]]+[1]!MOVIMENTACOES[[#This Row],[AJUSTE COMISSÃO]])</f>
        <v>5.0000000000000001E-4</v>
      </c>
      <c r="M10" s="16">
        <f>[1]!MOVIMENTACOES[[#This Row],[COMISSÃO FINAL]]*([1]!MOVIMENTACOES[[#This Row],[PREÇO NET]]*[1]!MOVIMENTACOES[[#This Row],[Qtde]])</f>
        <v>47.074470000000012</v>
      </c>
      <c r="N10" s="14" t="str">
        <f>_xlfn.XLOOKUP(LEFT([1]!MOVIMENTACOES[[#This Row],[Código]],3),'[1]BASE DE FABRICANTES'!A:A,'[1]BASE DE FABRICANTES'!B:B,"VERIFICAR",0,1)</f>
        <v>CHEMAXCEL</v>
      </c>
      <c r="O10" s="14">
        <f>[1]!MOVIMENTACOES[[#This Row],[PREÇO NET]]*[1]!MOVIMENTACOES[[#This Row],[Qtde]]</f>
        <v>94148.940000000017</v>
      </c>
      <c r="P10" s="17" t="s">
        <v>150</v>
      </c>
      <c r="Q10" s="17" t="s">
        <v>151</v>
      </c>
      <c r="R10" s="17" t="s">
        <v>49</v>
      </c>
      <c r="S10" s="17" t="s">
        <v>129</v>
      </c>
      <c r="T10" s="18">
        <v>46027</v>
      </c>
      <c r="U10" s="18" t="s">
        <v>152</v>
      </c>
      <c r="V10" s="17" t="s">
        <v>91</v>
      </c>
      <c r="W10" s="17"/>
      <c r="X10" s="17"/>
      <c r="Y10" s="17" t="s">
        <v>153</v>
      </c>
      <c r="Z10" s="17" t="s">
        <v>154</v>
      </c>
      <c r="AA10" s="17" t="s">
        <v>155</v>
      </c>
      <c r="AB10" s="17"/>
      <c r="AC10" s="17" t="s">
        <v>144</v>
      </c>
      <c r="AD10" s="17" t="s">
        <v>134</v>
      </c>
      <c r="AE10" s="17" t="s">
        <v>44</v>
      </c>
      <c r="AF10" s="17" t="s">
        <v>45</v>
      </c>
      <c r="AG10" s="17" t="s">
        <v>46</v>
      </c>
      <c r="AH10" s="17" t="s">
        <v>146</v>
      </c>
      <c r="AI10" s="17" t="s">
        <v>110</v>
      </c>
      <c r="AJ10" s="19">
        <v>150</v>
      </c>
      <c r="AK10" s="19">
        <v>75</v>
      </c>
      <c r="AL10" s="19">
        <v>0</v>
      </c>
      <c r="AM10" s="20">
        <v>370.90046547309998</v>
      </c>
      <c r="AN10" s="20">
        <v>700.47</v>
      </c>
      <c r="AO10" s="20">
        <v>55635.069820965</v>
      </c>
      <c r="AP10" s="20">
        <v>105070.5</v>
      </c>
      <c r="AQ10" s="20">
        <v>105070.5</v>
      </c>
      <c r="AR10" s="20">
        <v>7354.94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/>
      <c r="AY10" s="20"/>
      <c r="AZ10" s="20"/>
      <c r="BA10" s="20">
        <v>0</v>
      </c>
      <c r="BB10" s="20">
        <v>0</v>
      </c>
      <c r="BC10" s="20">
        <v>0</v>
      </c>
      <c r="BD10" s="20">
        <v>97715.56</v>
      </c>
      <c r="BE10" s="20">
        <v>635.15</v>
      </c>
      <c r="BF10" s="20">
        <v>0</v>
      </c>
      <c r="BG10" s="20">
        <v>97715.56</v>
      </c>
      <c r="BH10" s="20">
        <v>2931.47</v>
      </c>
      <c r="BI10" s="20">
        <v>0</v>
      </c>
      <c r="BJ10" s="20">
        <v>0</v>
      </c>
      <c r="BK10" s="20">
        <v>0</v>
      </c>
      <c r="BL10" s="17" t="s">
        <v>49</v>
      </c>
      <c r="BM10" s="17"/>
      <c r="BN10" s="17" t="s">
        <v>55</v>
      </c>
      <c r="BO10" s="17" t="s">
        <v>51</v>
      </c>
      <c r="BP10" s="17" t="s">
        <v>156</v>
      </c>
      <c r="BQ10" s="18">
        <v>46988</v>
      </c>
    </row>
    <row r="11" spans="1:69" x14ac:dyDescent="0.25">
      <c r="A11" s="11" t="str">
        <f>LEFT([1]!MOVIMENTACOES[[#This Row],[Código]],9)</f>
        <v>030004040</v>
      </c>
      <c r="B11" s="11" t="s">
        <v>149</v>
      </c>
      <c r="C11" s="11" t="str">
        <f>TRIM(IFERROR(LEFT([1]!MOVIMENTACOES[[#This Row],[Descrição]],SEARCH([1]!MOVIMENTACOES[[#This Row],[EMBALAGEM]],[1]!MOVIMENTACOES[[#This Row],[Descrição]],1)-1),[1]!MOVIMENTACOES[[#This Row],[Descrição]]))</f>
        <v>RESVERATROL NATURAL</v>
      </c>
      <c r="D11" s="11" t="str">
        <f>_xlfn.CONCAT([1]!MOVIMENTACOES[[#This Row],[FABRICANTE]],[1]!MOVIMENTACOES[[#This Row],[DESCRIÇÃO SEM EMBALAGEM]],[1]!MOVIMENTACOES[[#This Row],[Coluna1]])</f>
        <v>SPEC CHEMRESVERATROL NATURAL1</v>
      </c>
      <c r="E11" s="12">
        <f>_xlfn.XLOOKUP([1]!MOVIMENTACOES[[#This Row],[CONCAT]],'[2]PRICE LIST'!$G:$G,'[2]PRICE LIST'!$Q:$Q,"VERIFICAR",0,1)</f>
        <v>862.1881120614072</v>
      </c>
      <c r="F11" s="13">
        <f>_xlfn.XLOOKUP([1]!MOVIMENTACOES[[#This Row],[Data]],[1]PTAX!A:A,[1]PTAX!C:C,"VERIFICAR",0,1)*[1]!MOVIMENTACOES[[#This Row],[PREÇO DE LISTA DOLAR]]</f>
        <v>4637.7960735895158</v>
      </c>
      <c r="G11" s="14">
        <f>[1]!MOVIMENTACOES[[#This Row],[PREÇO NET]]-[1]!MOVIMENTACOES[[#This Row],[PREÇO DE LISTA REAL]]</f>
        <v>2511.6339264104854</v>
      </c>
      <c r="H11" s="15">
        <f>-[1]!MOVIMENTACOES[[#This Row],[DESCONTO CONCEDIDO]]/[1]!MOVIMENTACOES[[#This Row],[PREÇO DE LISTA REAL]]</f>
        <v>-0.54155764646774474</v>
      </c>
      <c r="I1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7149.4300000000012</v>
      </c>
      <c r="J11" s="15">
        <f>VLOOKUP([1]!MOVIMENTACOES[[#This Row],[DESC %]],[1]!DESC[#Data],2,TRUE)</f>
        <v>0.01</v>
      </c>
      <c r="K11" s="15">
        <f>_xlfn.XLOOKUP([1]!MOVIMENTACOES[[#This Row],[NF-e]],'[1]PEDIDOS E COMISSOES'!A:A,'[1]PEDIDOS E COMISSOES'!E:E,"VERIFICAR",0,1)</f>
        <v>0</v>
      </c>
      <c r="L11" s="15">
        <f>IF([1]!MOVIMENTACOES[[#This Row],[PERCENTUAL DE COMISSÕES]]+[1]!MOVIMENTACOES[[#This Row],[AJUSTE COMISSÃO]]&lt;0.06%,0.05%,[1]!MOVIMENTACOES[[#This Row],[PERCENTUAL DE COMISSÕES]]+[1]!MOVIMENTACOES[[#This Row],[AJUSTE COMISSÃO]])</f>
        <v>0.01</v>
      </c>
      <c r="M11" s="16">
        <f>[1]!MOVIMENTACOES[[#This Row],[COMISSÃO FINAL]]*([1]!MOVIMENTACOES[[#This Row],[PREÇO NET]]*[1]!MOVIMENTACOES[[#This Row],[Qtde]])</f>
        <v>71.49430000000001</v>
      </c>
      <c r="N11" s="14" t="str">
        <f>_xlfn.XLOOKUP(LEFT([1]!MOVIMENTACOES[[#This Row],[Código]],3),'[1]BASE DE FABRICANTES'!A:A,'[1]BASE DE FABRICANTES'!B:B,"VERIFICAR",0,1)</f>
        <v>SPEC CHEM</v>
      </c>
      <c r="O11" s="14">
        <f>[1]!MOVIMENTACOES[[#This Row],[PREÇO NET]]*[1]!MOVIMENTACOES[[#This Row],[Qtde]]</f>
        <v>7149.4300000000012</v>
      </c>
      <c r="P11" s="3" t="s">
        <v>157</v>
      </c>
      <c r="Q11" s="3" t="s">
        <v>158</v>
      </c>
      <c r="R11" s="3" t="s">
        <v>49</v>
      </c>
      <c r="S11" s="3" t="s">
        <v>159</v>
      </c>
      <c r="T11" s="6">
        <v>46028</v>
      </c>
      <c r="U11" s="6" t="s">
        <v>160</v>
      </c>
      <c r="V11" s="3" t="s">
        <v>91</v>
      </c>
      <c r="W11" s="3"/>
      <c r="X11" s="3"/>
      <c r="Y11" s="3" t="s">
        <v>161</v>
      </c>
      <c r="Z11" s="3" t="s">
        <v>162</v>
      </c>
      <c r="AA11" s="3" t="s">
        <v>163</v>
      </c>
      <c r="AB11" s="3"/>
      <c r="AC11" s="3" t="s">
        <v>164</v>
      </c>
      <c r="AD11" s="3" t="s">
        <v>165</v>
      </c>
      <c r="AE11" s="3" t="s">
        <v>44</v>
      </c>
      <c r="AF11" s="3" t="s">
        <v>45</v>
      </c>
      <c r="AG11" s="3" t="s">
        <v>46</v>
      </c>
      <c r="AH11" s="3" t="s">
        <v>47</v>
      </c>
      <c r="AI11" s="3" t="s">
        <v>48</v>
      </c>
      <c r="AJ11" s="4">
        <v>1</v>
      </c>
      <c r="AK11" s="4">
        <v>1</v>
      </c>
      <c r="AL11" s="4">
        <v>0</v>
      </c>
      <c r="AM11" s="5">
        <v>2477.2621762813001</v>
      </c>
      <c r="AN11" s="5">
        <v>9049.11</v>
      </c>
      <c r="AO11" s="5">
        <v>2477.2621762813001</v>
      </c>
      <c r="AP11" s="5">
        <v>9049.11</v>
      </c>
      <c r="AQ11" s="5">
        <v>9049.11</v>
      </c>
      <c r="AR11" s="5">
        <v>1628.84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/>
      <c r="AY11" s="5"/>
      <c r="AZ11" s="5"/>
      <c r="BA11" s="5">
        <v>0</v>
      </c>
      <c r="BB11" s="5">
        <v>0</v>
      </c>
      <c r="BC11" s="5">
        <v>0</v>
      </c>
      <c r="BD11" s="5">
        <v>7420.27</v>
      </c>
      <c r="BE11" s="5">
        <v>48.23</v>
      </c>
      <c r="BF11" s="5">
        <v>0</v>
      </c>
      <c r="BG11" s="5">
        <v>7420.27</v>
      </c>
      <c r="BH11" s="5">
        <v>222.61</v>
      </c>
      <c r="BI11" s="5">
        <v>0</v>
      </c>
      <c r="BJ11" s="5">
        <v>0</v>
      </c>
      <c r="BK11" s="5">
        <v>0</v>
      </c>
      <c r="BL11" s="3" t="s">
        <v>49</v>
      </c>
      <c r="BM11" s="3"/>
      <c r="BN11" s="3" t="s">
        <v>166</v>
      </c>
      <c r="BO11" s="3" t="s">
        <v>51</v>
      </c>
      <c r="BP11" s="3" t="s">
        <v>167</v>
      </c>
      <c r="BQ11" s="6">
        <v>46641</v>
      </c>
    </row>
    <row r="12" spans="1:69" x14ac:dyDescent="0.25">
      <c r="A12" s="11" t="str">
        <f>LEFT([1]!MOVIMENTACOES[[#This Row],[Código]],9)</f>
        <v>001004079</v>
      </c>
      <c r="B12" s="11" t="s">
        <v>149</v>
      </c>
      <c r="C12" s="11" t="str">
        <f>TRIM(IFERROR(LEFT([1]!MOVIMENTACOES[[#This Row],[Descrição]],SEARCH([1]!MOVIMENTACOES[[#This Row],[EMBALAGEM]],[1]!MOVIMENTACOES[[#This Row],[Descrição]],1)-1),[1]!MOVIMENTACOES[[#This Row],[Descrição]]))</f>
        <v>CYBRIGHT GP</v>
      </c>
      <c r="D12" s="11" t="str">
        <f>_xlfn.CONCAT([1]!MOVIMENTACOES[[#This Row],[FABRICANTE]],[1]!MOVIMENTACOES[[#This Row],[DESCRIÇÃO SEM EMBALAGEM]],[1]!MOVIMENTACOES[[#This Row],[Coluna1]])</f>
        <v>CODIFCYBRIGHT GP1</v>
      </c>
      <c r="E12" s="12">
        <f>_xlfn.XLOOKUP([1]!MOVIMENTACOES[[#This Row],[CONCAT]],'[2]PRICE LIST'!$G:$G,'[2]PRICE LIST'!$Q:$Q,"VERIFICAR",0,1)</f>
        <v>171.01692549999996</v>
      </c>
      <c r="F12" s="13">
        <f>_xlfn.XLOOKUP([1]!MOVIMENTACOES[[#This Row],[Data]],[1]PTAX!A:A,[1]PTAX!C:C,"VERIFICAR",0,1)*[1]!MOVIMENTACOES[[#This Row],[PREÇO DE LISTA DOLAR]]</f>
        <v>919.9171439570498</v>
      </c>
      <c r="G12" s="14">
        <f>[1]!MOVIMENTACOES[[#This Row],[PREÇO NET]]-[1]!MOVIMENTACOES[[#This Row],[PREÇO DE LISTA REAL]]</f>
        <v>234.07285604294998</v>
      </c>
      <c r="H12" s="15">
        <f>-[1]!MOVIMENTACOES[[#This Row],[DESCONTO CONCEDIDO]]/[1]!MOVIMENTACOES[[#This Row],[PREÇO DE LISTA REAL]]</f>
        <v>-0.25444993343213379</v>
      </c>
      <c r="I1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1153.9899999999998</v>
      </c>
      <c r="J12" s="15">
        <f>VLOOKUP([1]!MOVIMENTACOES[[#This Row],[DESC %]],[1]!DESC[#Data],2,TRUE)</f>
        <v>0.01</v>
      </c>
      <c r="K12" s="15">
        <f>_xlfn.XLOOKUP([1]!MOVIMENTACOES[[#This Row],[NF-e]],'[1]PEDIDOS E COMISSOES'!A:A,'[1]PEDIDOS E COMISSOES'!E:E,"VERIFICAR",0,1)</f>
        <v>1E-3</v>
      </c>
      <c r="L12" s="15">
        <f>IF([1]!MOVIMENTACOES[[#This Row],[PERCENTUAL DE COMISSÕES]]+[1]!MOVIMENTACOES[[#This Row],[AJUSTE COMISSÃO]]&lt;0.06%,0.05%,[1]!MOVIMENTACOES[[#This Row],[PERCENTUAL DE COMISSÕES]]+[1]!MOVIMENTACOES[[#This Row],[AJUSTE COMISSÃO]])</f>
        <v>1.0999999999999999E-2</v>
      </c>
      <c r="M12" s="16">
        <f>[1]!MOVIMENTACOES[[#This Row],[COMISSÃO FINAL]]*([1]!MOVIMENTACOES[[#This Row],[PREÇO NET]]*[1]!MOVIMENTACOES[[#This Row],[Qtde]])</f>
        <v>12.693889999999996</v>
      </c>
      <c r="N12" s="14" t="str">
        <f>_xlfn.XLOOKUP(LEFT([1]!MOVIMENTACOES[[#This Row],[Código]],3),'[1]BASE DE FABRICANTES'!A:A,'[1]BASE DE FABRICANTES'!B:B,"VERIFICAR",0,1)</f>
        <v>CODIF</v>
      </c>
      <c r="O12" s="14">
        <f>[1]!MOVIMENTACOES[[#This Row],[PREÇO NET]]*[1]!MOVIMENTACOES[[#This Row],[Qtde]]</f>
        <v>1153.9899999999998</v>
      </c>
      <c r="P12" s="17" t="s">
        <v>168</v>
      </c>
      <c r="Q12" s="17" t="s">
        <v>169</v>
      </c>
      <c r="R12" s="17" t="s">
        <v>49</v>
      </c>
      <c r="S12" s="17" t="s">
        <v>120</v>
      </c>
      <c r="T12" s="18">
        <v>46028</v>
      </c>
      <c r="U12" s="18" t="s">
        <v>170</v>
      </c>
      <c r="V12" s="17" t="s">
        <v>91</v>
      </c>
      <c r="W12" s="17"/>
      <c r="X12" s="17"/>
      <c r="Y12" s="17" t="s">
        <v>171</v>
      </c>
      <c r="Z12" s="17" t="s">
        <v>172</v>
      </c>
      <c r="AA12" s="17" t="s">
        <v>173</v>
      </c>
      <c r="AB12" s="17"/>
      <c r="AC12" s="17" t="s">
        <v>174</v>
      </c>
      <c r="AD12" s="17" t="s">
        <v>125</v>
      </c>
      <c r="AE12" s="17" t="s">
        <v>44</v>
      </c>
      <c r="AF12" s="17" t="s">
        <v>45</v>
      </c>
      <c r="AG12" s="17" t="s">
        <v>46</v>
      </c>
      <c r="AH12" s="17" t="s">
        <v>47</v>
      </c>
      <c r="AI12" s="17" t="s">
        <v>48</v>
      </c>
      <c r="AJ12" s="19">
        <v>1</v>
      </c>
      <c r="AK12" s="19">
        <v>91</v>
      </c>
      <c r="AL12" s="19">
        <v>0</v>
      </c>
      <c r="AM12" s="20">
        <v>309.56927233829998</v>
      </c>
      <c r="AN12" s="20">
        <v>1460.62</v>
      </c>
      <c r="AO12" s="20">
        <v>309.56927233829998</v>
      </c>
      <c r="AP12" s="20">
        <v>1460.62</v>
      </c>
      <c r="AQ12" s="20">
        <v>1460.62</v>
      </c>
      <c r="AR12" s="20">
        <v>262.91000000000003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/>
      <c r="AY12" s="20"/>
      <c r="AZ12" s="20"/>
      <c r="BA12" s="20">
        <v>0</v>
      </c>
      <c r="BB12" s="20">
        <v>0</v>
      </c>
      <c r="BC12" s="20">
        <v>0</v>
      </c>
      <c r="BD12" s="20">
        <v>1197.71</v>
      </c>
      <c r="BE12" s="20">
        <v>7.79</v>
      </c>
      <c r="BF12" s="20">
        <v>0</v>
      </c>
      <c r="BG12" s="20">
        <v>1197.71</v>
      </c>
      <c r="BH12" s="20">
        <v>35.93</v>
      </c>
      <c r="BI12" s="20">
        <v>0</v>
      </c>
      <c r="BJ12" s="20">
        <v>0</v>
      </c>
      <c r="BK12" s="20">
        <v>0</v>
      </c>
      <c r="BL12" s="17" t="s">
        <v>49</v>
      </c>
      <c r="BM12" s="17"/>
      <c r="BN12" s="17" t="s">
        <v>166</v>
      </c>
      <c r="BO12" s="17" t="s">
        <v>51</v>
      </c>
      <c r="BP12" s="17" t="s">
        <v>175</v>
      </c>
      <c r="BQ12" s="18">
        <v>47055</v>
      </c>
    </row>
    <row r="13" spans="1:69" x14ac:dyDescent="0.25">
      <c r="A13" s="11" t="str">
        <f>LEFT([1]!MOVIMENTACOES[[#This Row],[Código]],9)</f>
        <v>031004004</v>
      </c>
      <c r="B13" s="11" t="s">
        <v>149</v>
      </c>
      <c r="C13" s="11" t="str">
        <f>TRIM(IFERROR(LEFT([1]!MOVIMENTACOES[[#This Row],[Descrição]],SEARCH([1]!MOVIMENTACOES[[#This Row],[EMBALAGEM]],[1]!MOVIMENTACOES[[#This Row],[Descrição]],1)-1),[1]!MOVIMENTACOES[[#This Row],[Descrição]]))</f>
        <v>HEXYL RESORCINOL</v>
      </c>
      <c r="D13" s="11" t="str">
        <f>_xlfn.CONCAT([1]!MOVIMENTACOES[[#This Row],[FABRICANTE]],[1]!MOVIMENTACOES[[#This Row],[DESCRIÇÃO SEM EMBALAGEM]],[1]!MOVIMENTACOES[[#This Row],[Coluna1]])</f>
        <v>KUMARHEXYL RESORCINOL1</v>
      </c>
      <c r="E13" s="12">
        <f>_xlfn.XLOOKUP([1]!MOVIMENTACOES[[#This Row],[CONCAT]],'[2]PRICE LIST'!$G:$G,'[2]PRICE LIST'!$Q:$Q,"VERIFICAR",0,1)</f>
        <v>952.02499999999998</v>
      </c>
      <c r="F13" s="13">
        <f>_xlfn.XLOOKUP([1]!MOVIMENTACOES[[#This Row],[Data]],[1]PTAX!A:A,[1]PTAX!C:C,"VERIFICAR",0,1)*[1]!MOVIMENTACOES[[#This Row],[PREÇO DE LISTA DOLAR]]</f>
        <v>5121.0376775000004</v>
      </c>
      <c r="G13" s="14">
        <f>[1]!MOVIMENTACOES[[#This Row],[PREÇO NET]]-[1]!MOVIMENTACOES[[#This Row],[PREÇO DE LISTA REAL]]</f>
        <v>-1543.3376775000002</v>
      </c>
      <c r="H13" s="15">
        <f>-[1]!MOVIMENTACOES[[#This Row],[DESCONTO CONCEDIDO]]/[1]!MOVIMENTACOES[[#This Row],[PREÇO DE LISTA REAL]]</f>
        <v>0.30137206064326988</v>
      </c>
      <c r="I1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3577.7000000000003</v>
      </c>
      <c r="J13" s="15">
        <f>VLOOKUP([1]!MOVIMENTACOES[[#This Row],[DESC %]],[1]!DESC[#Data],2,TRUE)</f>
        <v>2.5000000000000001E-3</v>
      </c>
      <c r="K13" s="15">
        <f>_xlfn.XLOOKUP([1]!MOVIMENTACOES[[#This Row],[NF-e]],'[1]PEDIDOS E COMISSOES'!A:A,'[1]PEDIDOS E COMISSOES'!E:E,"VERIFICAR",0,1)</f>
        <v>-5.0000000000000001E-4</v>
      </c>
      <c r="L13" s="15">
        <f>IF([1]!MOVIMENTACOES[[#This Row],[PERCENTUAL DE COMISSÕES]]+[1]!MOVIMENTACOES[[#This Row],[AJUSTE COMISSÃO]]&lt;0.06%,0.05%,[1]!MOVIMENTACOES[[#This Row],[PERCENTUAL DE COMISSÕES]]+[1]!MOVIMENTACOES[[#This Row],[AJUSTE COMISSÃO]])</f>
        <v>2E-3</v>
      </c>
      <c r="M13" s="16">
        <f>[1]!MOVIMENTACOES[[#This Row],[COMISSÃO FINAL]]*([1]!MOVIMENTACOES[[#This Row],[PREÇO NET]]*[1]!MOVIMENTACOES[[#This Row],[Qtde]])</f>
        <v>7.1554000000000011</v>
      </c>
      <c r="N13" s="14" t="str">
        <f>_xlfn.XLOOKUP(LEFT([1]!MOVIMENTACOES[[#This Row],[Código]],3),'[1]BASE DE FABRICANTES'!A:A,'[1]BASE DE FABRICANTES'!B:B,"VERIFICAR",0,1)</f>
        <v>KUMAR</v>
      </c>
      <c r="O13" s="14">
        <f>[1]!MOVIMENTACOES[[#This Row],[PREÇO NET]]*[1]!MOVIMENTACOES[[#This Row],[Qtde]]</f>
        <v>3577.7000000000003</v>
      </c>
      <c r="P13" s="3" t="s">
        <v>176</v>
      </c>
      <c r="Q13" s="3" t="s">
        <v>177</v>
      </c>
      <c r="R13" s="3" t="s">
        <v>49</v>
      </c>
      <c r="S13" s="3" t="s">
        <v>159</v>
      </c>
      <c r="T13" s="6">
        <v>46028</v>
      </c>
      <c r="U13" s="6" t="s">
        <v>178</v>
      </c>
      <c r="V13" s="3" t="s">
        <v>91</v>
      </c>
      <c r="W13" s="3"/>
      <c r="X13" s="3"/>
      <c r="Y13" s="3" t="s">
        <v>179</v>
      </c>
      <c r="Z13" s="3" t="s">
        <v>180</v>
      </c>
      <c r="AA13" s="3" t="s">
        <v>181</v>
      </c>
      <c r="AB13" s="3"/>
      <c r="AC13" s="3" t="s">
        <v>182</v>
      </c>
      <c r="AD13" s="3"/>
      <c r="AE13" s="3" t="s">
        <v>44</v>
      </c>
      <c r="AF13" s="3" t="s">
        <v>45</v>
      </c>
      <c r="AG13" s="3" t="s">
        <v>46</v>
      </c>
      <c r="AH13" s="3" t="s">
        <v>183</v>
      </c>
      <c r="AI13" s="3" t="s">
        <v>110</v>
      </c>
      <c r="AJ13" s="4">
        <v>1</v>
      </c>
      <c r="AK13" s="4">
        <v>45</v>
      </c>
      <c r="AL13" s="4">
        <v>0</v>
      </c>
      <c r="AM13" s="5">
        <v>1944.8509952705999</v>
      </c>
      <c r="AN13" s="5">
        <v>4219.59</v>
      </c>
      <c r="AO13" s="5">
        <v>1944.8509952705999</v>
      </c>
      <c r="AP13" s="5">
        <v>4219.59</v>
      </c>
      <c r="AQ13" s="5">
        <v>4219.59</v>
      </c>
      <c r="AR13" s="5">
        <v>506.35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/>
      <c r="AY13" s="5"/>
      <c r="AZ13" s="5"/>
      <c r="BA13" s="5">
        <v>0</v>
      </c>
      <c r="BB13" s="5">
        <v>0</v>
      </c>
      <c r="BC13" s="5">
        <v>0</v>
      </c>
      <c r="BD13" s="5">
        <v>3713.24</v>
      </c>
      <c r="BE13" s="5">
        <v>24.14</v>
      </c>
      <c r="BF13" s="5">
        <v>0</v>
      </c>
      <c r="BG13" s="5">
        <v>3713.24</v>
      </c>
      <c r="BH13" s="5">
        <v>111.4</v>
      </c>
      <c r="BI13" s="5">
        <v>0</v>
      </c>
      <c r="BJ13" s="5">
        <v>0</v>
      </c>
      <c r="BK13" s="5">
        <v>0</v>
      </c>
      <c r="BL13" s="3" t="s">
        <v>49</v>
      </c>
      <c r="BM13" s="3"/>
      <c r="BN13" s="3" t="s">
        <v>184</v>
      </c>
      <c r="BO13" s="3" t="s">
        <v>51</v>
      </c>
      <c r="BP13" s="3" t="s">
        <v>185</v>
      </c>
      <c r="BQ13" s="6">
        <v>46599</v>
      </c>
    </row>
    <row r="14" spans="1:69" x14ac:dyDescent="0.25">
      <c r="A14" s="11" t="str">
        <f>LEFT([1]!MOVIMENTACOES[[#This Row],[Código]],9)</f>
        <v>002004012</v>
      </c>
      <c r="B14" s="11" t="s">
        <v>149</v>
      </c>
      <c r="C14" s="11" t="str">
        <f>TRIM(IFERROR(LEFT([1]!MOVIMENTACOES[[#This Row],[Descrição]],SEARCH([1]!MOVIMENTACOES[[#This Row],[EMBALAGEM]],[1]!MOVIMENTACOES[[#This Row],[Descrição]],1)-1),[1]!MOVIMENTACOES[[#This Row],[Descrição]]))</f>
        <v>OLIGO-HA</v>
      </c>
      <c r="D14" s="11" t="str">
        <f>_xlfn.CONCAT([1]!MOVIMENTACOES[[#This Row],[FABRICANTE]],[1]!MOVIMENTACOES[[#This Row],[DESCRIÇÃO SEM EMBALAGEM]],[1]!MOVIMENTACOES[[#This Row],[Coluna1]])</f>
        <v>BIOLANDOLIGO-HA1</v>
      </c>
      <c r="E14" s="12">
        <f>_xlfn.XLOOKUP([1]!MOVIMENTACOES[[#This Row],[CONCAT]],'[2]PRICE LIST'!$G:$G,'[2]PRICE LIST'!$Q:$Q,"VERIFICAR",0,1)</f>
        <v>3433.786705</v>
      </c>
      <c r="F14" s="13">
        <f>_xlfn.XLOOKUP([1]!MOVIMENTACOES[[#This Row],[Data]],[1]PTAX!A:A,[1]PTAX!C:C,"VERIFICAR",0,1)*[1]!MOVIMENTACOES[[#This Row],[PREÇO DE LISTA DOLAR]]</f>
        <v>18470.682064865501</v>
      </c>
      <c r="G14" s="14">
        <f>[1]!MOVIMENTACOES[[#This Row],[PREÇO NET]]-[1]!MOVIMENTACOES[[#This Row],[PREÇO DE LISTA REAL]]</f>
        <v>-2341.9720648655039</v>
      </c>
      <c r="H14" s="15">
        <f>-[1]!MOVIMENTACOES[[#This Row],[DESCONTO CONCEDIDO]]/[1]!MOVIMENTACOES[[#This Row],[PREÇO DE LISTA REAL]]</f>
        <v>0.12679402182555827</v>
      </c>
      <c r="I1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16128.709999999997</v>
      </c>
      <c r="J14" s="15">
        <f>VLOOKUP([1]!MOVIMENTACOES[[#This Row],[DESC %]],[1]!DESC[#Data],2,TRUE)</f>
        <v>5.0000000000000001E-3</v>
      </c>
      <c r="K14" s="15">
        <f>_xlfn.XLOOKUP([1]!MOVIMENTACOES[[#This Row],[NF-e]],'[1]PEDIDOS E COMISSOES'!A:A,'[1]PEDIDOS E COMISSOES'!E:E,"VERIFICAR",0,1)</f>
        <v>0</v>
      </c>
      <c r="L14" s="15">
        <f>IF([1]!MOVIMENTACOES[[#This Row],[PERCENTUAL DE COMISSÕES]]+[1]!MOVIMENTACOES[[#This Row],[AJUSTE COMISSÃO]]&lt;0.06%,0.05%,[1]!MOVIMENTACOES[[#This Row],[PERCENTUAL DE COMISSÕES]]+[1]!MOVIMENTACOES[[#This Row],[AJUSTE COMISSÃO]])</f>
        <v>5.0000000000000001E-3</v>
      </c>
      <c r="M14" s="16">
        <f>[1]!MOVIMENTACOES[[#This Row],[COMISSÃO FINAL]]*([1]!MOVIMENTACOES[[#This Row],[PREÇO NET]]*[1]!MOVIMENTACOES[[#This Row],[Qtde]])</f>
        <v>80.643549999999991</v>
      </c>
      <c r="N14" s="14" t="str">
        <f>_xlfn.XLOOKUP(LEFT([1]!MOVIMENTACOES[[#This Row],[Código]],3),'[1]BASE DE FABRICANTES'!A:A,'[1]BASE DE FABRICANTES'!B:B,"VERIFICAR",0,1)</f>
        <v>BIOLAND</v>
      </c>
      <c r="O14" s="14">
        <f>[1]!MOVIMENTACOES[[#This Row],[PREÇO NET]]*[1]!MOVIMENTACOES[[#This Row],[Qtde]]</f>
        <v>16128.709999999997</v>
      </c>
      <c r="P14" s="17" t="s">
        <v>186</v>
      </c>
      <c r="Q14" s="17" t="s">
        <v>187</v>
      </c>
      <c r="R14" s="17" t="s">
        <v>49</v>
      </c>
      <c r="S14" s="17" t="s">
        <v>102</v>
      </c>
      <c r="T14" s="18">
        <v>46028</v>
      </c>
      <c r="U14" s="18" t="s">
        <v>188</v>
      </c>
      <c r="V14" s="17" t="s">
        <v>91</v>
      </c>
      <c r="W14" s="17"/>
      <c r="X14" s="17"/>
      <c r="Y14" s="17" t="s">
        <v>189</v>
      </c>
      <c r="Z14" s="17" t="s">
        <v>190</v>
      </c>
      <c r="AA14" s="17" t="s">
        <v>191</v>
      </c>
      <c r="AB14" s="17"/>
      <c r="AC14" s="17" t="s">
        <v>192</v>
      </c>
      <c r="AD14" s="17" t="s">
        <v>43</v>
      </c>
      <c r="AE14" s="17" t="s">
        <v>44</v>
      </c>
      <c r="AF14" s="17" t="s">
        <v>45</v>
      </c>
      <c r="AG14" s="17" t="s">
        <v>46</v>
      </c>
      <c r="AH14" s="17" t="s">
        <v>146</v>
      </c>
      <c r="AI14" s="17" t="s">
        <v>110</v>
      </c>
      <c r="AJ14" s="19">
        <v>1</v>
      </c>
      <c r="AK14" s="19">
        <v>4</v>
      </c>
      <c r="AL14" s="19">
        <v>0</v>
      </c>
      <c r="AM14" s="20">
        <v>7332.0490631231996</v>
      </c>
      <c r="AN14" s="20">
        <v>17999.689999999999</v>
      </c>
      <c r="AO14" s="20">
        <v>7332.0490631231996</v>
      </c>
      <c r="AP14" s="20">
        <v>17999.689999999999</v>
      </c>
      <c r="AQ14" s="20">
        <v>17999.689999999999</v>
      </c>
      <c r="AR14" s="20">
        <v>1259.98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/>
      <c r="AY14" s="20"/>
      <c r="AZ14" s="20"/>
      <c r="BA14" s="20">
        <v>0</v>
      </c>
      <c r="BB14" s="20">
        <v>0</v>
      </c>
      <c r="BC14" s="20">
        <v>0</v>
      </c>
      <c r="BD14" s="20">
        <v>16739.71</v>
      </c>
      <c r="BE14" s="20">
        <v>108.81</v>
      </c>
      <c r="BF14" s="20">
        <v>0</v>
      </c>
      <c r="BG14" s="20">
        <v>16739.71</v>
      </c>
      <c r="BH14" s="20">
        <v>502.19</v>
      </c>
      <c r="BI14" s="20">
        <v>0</v>
      </c>
      <c r="BJ14" s="20">
        <v>0</v>
      </c>
      <c r="BK14" s="20">
        <v>0</v>
      </c>
      <c r="BL14" s="17" t="s">
        <v>49</v>
      </c>
      <c r="BM14" s="17"/>
      <c r="BN14" s="17" t="s">
        <v>55</v>
      </c>
      <c r="BO14" s="17" t="s">
        <v>51</v>
      </c>
      <c r="BP14" s="17" t="s">
        <v>193</v>
      </c>
      <c r="BQ14" s="18">
        <v>46658</v>
      </c>
    </row>
    <row r="15" spans="1:69" x14ac:dyDescent="0.25">
      <c r="A15" s="11" t="str">
        <f>LEFT([1]!MOVIMENTACOES[[#This Row],[Código]],9)</f>
        <v>008008001</v>
      </c>
      <c r="B15" s="11" t="s">
        <v>149</v>
      </c>
      <c r="C15" s="11" t="str">
        <f>TRIM(IFERROR(LEFT([1]!MOVIMENTACOES[[#This Row],[Descrição]],SEARCH([1]!MOVIMENTACOES[[#This Row],[EMBALAGEM]],[1]!MOVIMENTACOES[[#This Row],[Descrição]],1)-1),[1]!MOVIMENTACOES[[#This Row],[Descrição]]))</f>
        <v>INNOVA CHARCOAL POWDER 200</v>
      </c>
      <c r="D15" s="11" t="str">
        <f>_xlfn.CONCAT([1]!MOVIMENTACOES[[#This Row],[FABRICANTE]],[1]!MOVIMENTACOES[[#This Row],[DESCRIÇÃO SEM EMBALAGEM]],[1]!MOVIMENTACOES[[#This Row],[Coluna1]])</f>
        <v>KPTINNOVA CHARCOAL POWDER 2001</v>
      </c>
      <c r="E15" s="12">
        <f>_xlfn.XLOOKUP([1]!MOVIMENTACOES[[#This Row],[CONCAT]],'[2]PRICE LIST'!$G:$G,'[2]PRICE LIST'!$Q:$Q,"VERIFICAR",0,1)</f>
        <v>172.25</v>
      </c>
      <c r="F15" s="13">
        <f>_xlfn.XLOOKUP([1]!MOVIMENTACOES[[#This Row],[Data]],[1]PTAX!A:A,[1]PTAX!C:C,"VERIFICAR",0,1)*[1]!MOVIMENTACOES[[#This Row],[PREÇO DE LISTA DOLAR]]</f>
        <v>926.54997500000002</v>
      </c>
      <c r="G15" s="14">
        <f>[1]!MOVIMENTACOES[[#This Row],[PREÇO NET]]-[1]!MOVIMENTACOES[[#This Row],[PREÇO DE LISTA REAL]]</f>
        <v>-11.429975000000013</v>
      </c>
      <c r="H15" s="15">
        <f>-[1]!MOVIMENTACOES[[#This Row],[DESCONTO CONCEDIDO]]/[1]!MOVIMENTACOES[[#This Row],[PREÇO DE LISTA REAL]]</f>
        <v>1.2336058829422571E-2</v>
      </c>
      <c r="I1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915.12</v>
      </c>
      <c r="J15" s="15">
        <f>VLOOKUP([1]!MOVIMENTACOES[[#This Row],[DESC %]],[1]!DESC[#Data],2,TRUE)</f>
        <v>8.9999999999999993E-3</v>
      </c>
      <c r="K15" s="15">
        <f>_xlfn.XLOOKUP([1]!MOVIMENTACOES[[#This Row],[NF-e]],'[1]PEDIDOS E COMISSOES'!A:A,'[1]PEDIDOS E COMISSOES'!E:E,"VERIFICAR",0,1)</f>
        <v>5.0000000000000001E-4</v>
      </c>
      <c r="L15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15" s="16">
        <f>[1]!MOVIMENTACOES[[#This Row],[COMISSÃO FINAL]]*([1]!MOVIMENTACOES[[#This Row],[PREÇO NET]]*[1]!MOVIMENTACOES[[#This Row],[Qtde]])</f>
        <v>8.6936400000000003</v>
      </c>
      <c r="N15" s="14" t="str">
        <f>_xlfn.XLOOKUP(LEFT([1]!MOVIMENTACOES[[#This Row],[Código]],3),'[1]BASE DE FABRICANTES'!A:A,'[1]BASE DE FABRICANTES'!B:B,"VERIFICAR",0,1)</f>
        <v>KPT</v>
      </c>
      <c r="O15" s="14">
        <f>[1]!MOVIMENTACOES[[#This Row],[PREÇO NET]]*[1]!MOVIMENTACOES[[#This Row],[Qtde]]</f>
        <v>915.12</v>
      </c>
      <c r="P15" s="3" t="s">
        <v>194</v>
      </c>
      <c r="Q15" s="3" t="s">
        <v>195</v>
      </c>
      <c r="R15" s="3" t="s">
        <v>49</v>
      </c>
      <c r="S15" s="3" t="s">
        <v>196</v>
      </c>
      <c r="T15" s="6">
        <v>46028</v>
      </c>
      <c r="U15" s="6" t="s">
        <v>197</v>
      </c>
      <c r="V15" s="3" t="s">
        <v>91</v>
      </c>
      <c r="W15" s="3"/>
      <c r="X15" s="3"/>
      <c r="Y15" s="3" t="s">
        <v>198</v>
      </c>
      <c r="Z15" s="3" t="s">
        <v>199</v>
      </c>
      <c r="AA15" s="3" t="s">
        <v>200</v>
      </c>
      <c r="AB15" s="3"/>
      <c r="AC15" s="3" t="s">
        <v>201</v>
      </c>
      <c r="AD15" s="3" t="s">
        <v>96</v>
      </c>
      <c r="AE15" s="3" t="s">
        <v>44</v>
      </c>
      <c r="AF15" s="3" t="s">
        <v>45</v>
      </c>
      <c r="AG15" s="3" t="s">
        <v>46</v>
      </c>
      <c r="AH15" s="3" t="s">
        <v>202</v>
      </c>
      <c r="AI15" s="3" t="s">
        <v>110</v>
      </c>
      <c r="AJ15" s="4">
        <v>1</v>
      </c>
      <c r="AK15" s="4">
        <v>7</v>
      </c>
      <c r="AL15" s="4">
        <v>0</v>
      </c>
      <c r="AM15" s="5">
        <v>262.99349446100001</v>
      </c>
      <c r="AN15" s="5">
        <v>1079.3</v>
      </c>
      <c r="AO15" s="5">
        <v>262.99349446100001</v>
      </c>
      <c r="AP15" s="5">
        <v>1079.3</v>
      </c>
      <c r="AQ15" s="5">
        <v>1079.3</v>
      </c>
      <c r="AR15" s="5">
        <v>129.52000000000001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/>
      <c r="AY15" s="5"/>
      <c r="AZ15" s="5"/>
      <c r="BA15" s="5">
        <v>0</v>
      </c>
      <c r="BB15" s="5">
        <v>0</v>
      </c>
      <c r="BC15" s="5">
        <v>0</v>
      </c>
      <c r="BD15" s="5">
        <v>949.78</v>
      </c>
      <c r="BE15" s="5">
        <v>6.17</v>
      </c>
      <c r="BF15" s="5">
        <v>0</v>
      </c>
      <c r="BG15" s="5">
        <v>949.78</v>
      </c>
      <c r="BH15" s="5">
        <v>28.49</v>
      </c>
      <c r="BI15" s="5">
        <v>0</v>
      </c>
      <c r="BJ15" s="5">
        <v>0</v>
      </c>
      <c r="BK15" s="5">
        <v>0</v>
      </c>
      <c r="BL15" s="3" t="s">
        <v>49</v>
      </c>
      <c r="BM15" s="3"/>
      <c r="BN15" s="3" t="s">
        <v>166</v>
      </c>
      <c r="BO15" s="3" t="s">
        <v>51</v>
      </c>
      <c r="BP15" s="3" t="s">
        <v>203</v>
      </c>
      <c r="BQ15" s="6">
        <v>46378</v>
      </c>
    </row>
    <row r="16" spans="1:69" x14ac:dyDescent="0.25">
      <c r="A16" s="11" t="str">
        <f>LEFT([1]!MOVIMENTACOES[[#This Row],[Código]],9)</f>
        <v>026005004</v>
      </c>
      <c r="B16" s="11" t="s">
        <v>204</v>
      </c>
      <c r="C16" s="11" t="str">
        <f>TRIM(IFERROR(LEFT([1]!MOVIMENTACOES[[#This Row],[Descrição]],SEARCH([1]!MOVIMENTACOES[[#This Row],[EMBALAGEM]],[1]!MOVIMENTACOES[[#This Row],[Descrição]],1)-1),[1]!MOVIMENTACOES[[#This Row],[Descrição]]))</f>
        <v>NATUREGREEN 20RS</v>
      </c>
      <c r="D16" s="11" t="str">
        <f>_xlfn.CONCAT([1]!MOVIMENTACOES[[#This Row],[FABRICANTE]],[1]!MOVIMENTACOES[[#This Row],[DESCRIÇÃO SEM EMBALAGEM]],[1]!MOVIMENTACOES[[#This Row],[Coluna1]])</f>
        <v>MICRO POWDERSNATUREGREEN 20RS25</v>
      </c>
      <c r="E16" s="12">
        <f>_xlfn.XLOOKUP([1]!MOVIMENTACOES[[#This Row],[CONCAT]],'[2]PRICE LIST'!$G:$G,'[2]PRICE LIST'!$Q:$Q,"VERIFICAR",0,1)</f>
        <v>166.33470000000003</v>
      </c>
      <c r="F16" s="13">
        <f>_xlfn.XLOOKUP([1]!MOVIMENTACOES[[#This Row],[Data]],[1]PTAX!A:A,[1]PTAX!C:C,"VERIFICAR",0,1)*[1]!MOVIMENTACOES[[#This Row],[PREÇO DE LISTA DOLAR]]</f>
        <v>894.73098477000019</v>
      </c>
      <c r="G16" s="14">
        <f>[1]!MOVIMENTACOES[[#This Row],[PREÇO NET]]-[1]!MOVIMENTACOES[[#This Row],[PREÇO DE LISTA REAL]]</f>
        <v>-190.91978477000021</v>
      </c>
      <c r="H16" s="15">
        <f>-[1]!MOVIMENTACOES[[#This Row],[DESCONTO CONCEDIDO]]/[1]!MOVIMENTACOES[[#This Row],[PREÇO DE LISTA REAL]]</f>
        <v>0.21338233281267005</v>
      </c>
      <c r="I1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703.81119999999999</v>
      </c>
      <c r="J16" s="15">
        <f>VLOOKUP([1]!MOVIMENTACOES[[#This Row],[DESC %]],[1]!DESC[#Data],2,TRUE)</f>
        <v>2.5000000000000001E-3</v>
      </c>
      <c r="K16" s="15">
        <f>_xlfn.XLOOKUP([1]!MOVIMENTACOES[[#This Row],[NF-e]],'[1]PEDIDOS E COMISSOES'!A:A,'[1]PEDIDOS E COMISSOES'!E:E,"VERIFICAR",0,1)</f>
        <v>5.0000000000000001E-4</v>
      </c>
      <c r="L16" s="15">
        <f>IF([1]!MOVIMENTACOES[[#This Row],[PERCENTUAL DE COMISSÕES]]+[1]!MOVIMENTACOES[[#This Row],[AJUSTE COMISSÃO]]&lt;0.06%,0.05%,[1]!MOVIMENTACOES[[#This Row],[PERCENTUAL DE COMISSÕES]]+[1]!MOVIMENTACOES[[#This Row],[AJUSTE COMISSÃO]])</f>
        <v>3.0000000000000001E-3</v>
      </c>
      <c r="M16" s="16">
        <f>[1]!MOVIMENTACOES[[#This Row],[COMISSÃO FINAL]]*([1]!MOVIMENTACOES[[#This Row],[PREÇO NET]]*[1]!MOVIMENTACOES[[#This Row],[Qtde]])</f>
        <v>52.78584</v>
      </c>
      <c r="N16" s="14" t="str">
        <f>_xlfn.XLOOKUP(LEFT([1]!MOVIMENTACOES[[#This Row],[Código]],3),'[1]BASE DE FABRICANTES'!A:A,'[1]BASE DE FABRICANTES'!B:B,"VERIFICAR",0,1)</f>
        <v>MICRO POWDERS</v>
      </c>
      <c r="O16" s="14">
        <f>[1]!MOVIMENTACOES[[#This Row],[PREÇO NET]]*[1]!MOVIMENTACOES[[#This Row],[Qtde]]</f>
        <v>17595.28</v>
      </c>
      <c r="P16" s="17" t="s">
        <v>205</v>
      </c>
      <c r="Q16" s="17" t="s">
        <v>206</v>
      </c>
      <c r="R16" s="17" t="s">
        <v>49</v>
      </c>
      <c r="S16" s="17" t="s">
        <v>207</v>
      </c>
      <c r="T16" s="18">
        <v>46028</v>
      </c>
      <c r="U16" s="18" t="s">
        <v>208</v>
      </c>
      <c r="V16" s="17" t="s">
        <v>91</v>
      </c>
      <c r="W16" s="17"/>
      <c r="X16" s="17"/>
      <c r="Y16" s="17" t="s">
        <v>209</v>
      </c>
      <c r="Z16" s="17" t="s">
        <v>210</v>
      </c>
      <c r="AA16" s="17" t="s">
        <v>211</v>
      </c>
      <c r="AB16" s="17"/>
      <c r="AC16" s="17" t="s">
        <v>212</v>
      </c>
      <c r="AD16" s="17"/>
      <c r="AE16" s="17" t="s">
        <v>44</v>
      </c>
      <c r="AF16" s="17" t="s">
        <v>45</v>
      </c>
      <c r="AG16" s="17" t="s">
        <v>46</v>
      </c>
      <c r="AH16" s="17" t="s">
        <v>213</v>
      </c>
      <c r="AI16" s="17" t="s">
        <v>110</v>
      </c>
      <c r="AJ16" s="19">
        <v>25</v>
      </c>
      <c r="AK16" s="19">
        <v>25</v>
      </c>
      <c r="AL16" s="19">
        <v>0</v>
      </c>
      <c r="AM16" s="20">
        <v>407.61917184959998</v>
      </c>
      <c r="AN16" s="20">
        <v>760.91</v>
      </c>
      <c r="AO16" s="20">
        <v>10190.479296240001</v>
      </c>
      <c r="AP16" s="20">
        <v>19022.75</v>
      </c>
      <c r="AQ16" s="20">
        <v>19022.75</v>
      </c>
      <c r="AR16" s="20">
        <v>760.91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/>
      <c r="AY16" s="20"/>
      <c r="AZ16" s="20"/>
      <c r="BA16" s="20">
        <v>0</v>
      </c>
      <c r="BB16" s="20">
        <v>0</v>
      </c>
      <c r="BC16" s="20">
        <v>0</v>
      </c>
      <c r="BD16" s="20">
        <v>18261.84</v>
      </c>
      <c r="BE16" s="20">
        <v>118.7</v>
      </c>
      <c r="BF16" s="20">
        <v>0</v>
      </c>
      <c r="BG16" s="20">
        <v>18261.84</v>
      </c>
      <c r="BH16" s="20">
        <v>547.86</v>
      </c>
      <c r="BI16" s="20">
        <v>0</v>
      </c>
      <c r="BJ16" s="20">
        <v>0</v>
      </c>
      <c r="BK16" s="20">
        <v>0</v>
      </c>
      <c r="BL16" s="17" t="s">
        <v>49</v>
      </c>
      <c r="BM16" s="17"/>
      <c r="BN16" s="17" t="s">
        <v>97</v>
      </c>
      <c r="BO16" s="17" t="s">
        <v>51</v>
      </c>
      <c r="BP16" s="17" t="s">
        <v>214</v>
      </c>
      <c r="BQ16" s="18">
        <v>46616</v>
      </c>
    </row>
    <row r="17" spans="1:69" x14ac:dyDescent="0.25">
      <c r="A17" s="11" t="str">
        <f>LEFT([1]!MOVIMENTACOES[[#This Row],[Código]],9)</f>
        <v>007002001</v>
      </c>
      <c r="B17" s="11" t="s">
        <v>136</v>
      </c>
      <c r="C17" s="11" t="str">
        <f>TRIM(IFERROR(LEFT([1]!MOVIMENTACOES[[#This Row],[Descrição]],SEARCH([1]!MOVIMENTACOES[[#This Row],[EMBALAGEM]],[1]!MOVIMENTACOES[[#This Row],[Descrição]],1)-1),[1]!MOVIMENTACOES[[#This Row],[Descrição]]))</f>
        <v>NATUROIL TRADITION SWEET ALMOND</v>
      </c>
      <c r="D17" s="11" t="str">
        <f>_xlfn.CONCAT([1]!MOVIMENTACOES[[#This Row],[FABRICANTE]],[1]!MOVIMENTACOES[[#This Row],[DESCRIÇÃO SEM EMBALAGEM]],[1]!MOVIMENTACOES[[#This Row],[Coluna1]])</f>
        <v>MPRNATUROIL TRADITION SWEET ALMOND180</v>
      </c>
      <c r="E17" s="22">
        <v>10.89</v>
      </c>
      <c r="F17" s="13">
        <f>_xlfn.XLOOKUP([1]!MOVIMENTACOES[[#This Row],[Data]],[1]PTAX!A:A,[1]PTAX!C:C,"VERIFICAR",0,1)*[1]!MOVIMENTACOES[[#This Row],[PREÇO DE LISTA DOLAR]]</f>
        <v>58.578399000000005</v>
      </c>
      <c r="G17" s="14">
        <f>[1]!MOVIMENTACOES[[#This Row],[PREÇO NET]]-[1]!MOVIMENTACOES[[#This Row],[PREÇO DE LISTA REAL]]</f>
        <v>-30.242269370370373</v>
      </c>
      <c r="H17" s="15">
        <f>-[1]!MOVIMENTACOES[[#This Row],[DESCONTO CONCEDIDO]]/[1]!MOVIMENTACOES[[#This Row],[PREÇO DE LISTA REAL]]</f>
        <v>0.51626998836841498</v>
      </c>
      <c r="I1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28.336129629629632</v>
      </c>
      <c r="J17" s="15">
        <f>VLOOKUP([1]!MOVIMENTACOES[[#This Row],[DESC %]],[1]!DESC[#Data],2,TRUE)</f>
        <v>2.5000000000000001E-3</v>
      </c>
      <c r="K17" s="15">
        <f>_xlfn.XLOOKUP([1]!MOVIMENTACOES[[#This Row],[NF-e]],'[1]PEDIDOS E COMISSOES'!A:A,'[1]PEDIDOS E COMISSOES'!E:E,"VERIFICAR",0,1)</f>
        <v>5.0000000000000001E-4</v>
      </c>
      <c r="L17" s="15">
        <f>IF([1]!MOVIMENTACOES[[#This Row],[PERCENTUAL DE COMISSÕES]]+[1]!MOVIMENTACOES[[#This Row],[AJUSTE COMISSÃO]]&lt;0.06%,0.05%,[1]!MOVIMENTACOES[[#This Row],[PERCENTUAL DE COMISSÕES]]+[1]!MOVIMENTACOES[[#This Row],[AJUSTE COMISSÃO]])</f>
        <v>3.0000000000000001E-3</v>
      </c>
      <c r="M17" s="16">
        <f>[1]!MOVIMENTACOES[[#This Row],[COMISSÃO FINAL]]*([1]!MOVIMENTACOES[[#This Row],[PREÇO NET]]*[1]!MOVIMENTACOES[[#This Row],[Qtde]])</f>
        <v>45.904530000000001</v>
      </c>
      <c r="N17" s="14" t="str">
        <f>_xlfn.XLOOKUP(LEFT([1]!MOVIMENTACOES[[#This Row],[Código]],3),'[1]BASE DE FABRICANTES'!A:A,'[1]BASE DE FABRICANTES'!B:B,"VERIFICAR",0,1)</f>
        <v>MPR</v>
      </c>
      <c r="O17" s="14">
        <f>[1]!MOVIMENTACOES[[#This Row],[PREÇO NET]]*[1]!MOVIMENTACOES[[#This Row],[Qtde]]</f>
        <v>15301.51</v>
      </c>
      <c r="P17" s="3" t="s">
        <v>137</v>
      </c>
      <c r="Q17" s="3" t="s">
        <v>138</v>
      </c>
      <c r="R17" s="3" t="s">
        <v>49</v>
      </c>
      <c r="S17" s="3" t="s">
        <v>139</v>
      </c>
      <c r="T17" s="6">
        <v>46028</v>
      </c>
      <c r="U17" s="6" t="s">
        <v>215</v>
      </c>
      <c r="V17" s="3" t="s">
        <v>91</v>
      </c>
      <c r="W17" s="3"/>
      <c r="X17" s="3"/>
      <c r="Y17" s="3" t="s">
        <v>216</v>
      </c>
      <c r="Z17" s="3" t="s">
        <v>217</v>
      </c>
      <c r="AA17" s="3" t="s">
        <v>218</v>
      </c>
      <c r="AB17" s="3"/>
      <c r="AC17" s="3" t="s">
        <v>201</v>
      </c>
      <c r="AD17" s="3" t="s">
        <v>145</v>
      </c>
      <c r="AE17" s="3" t="s">
        <v>44</v>
      </c>
      <c r="AF17" s="3" t="s">
        <v>45</v>
      </c>
      <c r="AG17" s="3" t="s">
        <v>46</v>
      </c>
      <c r="AH17" s="3" t="s">
        <v>202</v>
      </c>
      <c r="AI17" s="3" t="s">
        <v>110</v>
      </c>
      <c r="AJ17" s="4">
        <v>540</v>
      </c>
      <c r="AK17" s="4">
        <v>0</v>
      </c>
      <c r="AL17" s="4">
        <v>0</v>
      </c>
      <c r="AM17" s="5">
        <v>18.614000000000001</v>
      </c>
      <c r="AN17" s="5">
        <v>33.42</v>
      </c>
      <c r="AO17" s="5">
        <v>10051.56</v>
      </c>
      <c r="AP17" s="5">
        <v>18046.8</v>
      </c>
      <c r="AQ17" s="5">
        <v>18046.8</v>
      </c>
      <c r="AR17" s="5">
        <v>2165.62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/>
      <c r="AY17" s="5"/>
      <c r="AZ17" s="5"/>
      <c r="BA17" s="5">
        <v>0</v>
      </c>
      <c r="BB17" s="5">
        <v>0</v>
      </c>
      <c r="BC17" s="5">
        <v>0</v>
      </c>
      <c r="BD17" s="5">
        <v>15881.18</v>
      </c>
      <c r="BE17" s="5">
        <v>103.23</v>
      </c>
      <c r="BF17" s="5">
        <v>0</v>
      </c>
      <c r="BG17" s="5">
        <v>15881.18</v>
      </c>
      <c r="BH17" s="5">
        <v>476.44</v>
      </c>
      <c r="BI17" s="5">
        <v>0</v>
      </c>
      <c r="BJ17" s="5">
        <v>0</v>
      </c>
      <c r="BK17" s="5">
        <v>0</v>
      </c>
      <c r="BL17" s="3" t="s">
        <v>49</v>
      </c>
      <c r="BM17" s="3"/>
      <c r="BN17" s="3" t="s">
        <v>166</v>
      </c>
      <c r="BO17" s="3" t="s">
        <v>51</v>
      </c>
      <c r="BP17" s="3" t="s">
        <v>219</v>
      </c>
      <c r="BQ17" s="6">
        <v>46532</v>
      </c>
    </row>
    <row r="18" spans="1:69" x14ac:dyDescent="0.25">
      <c r="A18" s="11" t="str">
        <f>LEFT([1]!MOVIMENTACOES[[#This Row],[Código]],9)</f>
        <v>023005001</v>
      </c>
      <c r="B18" s="11" t="s">
        <v>204</v>
      </c>
      <c r="C18" s="11" t="str">
        <f>TRIM(IFERROR(LEFT([1]!MOVIMENTACOES[[#This Row],[Descrição]],SEARCH([1]!MOVIMENTACOES[[#This Row],[EMBALAGEM]],[1]!MOVIMENTACOES[[#This Row],[Descrição]],1)-1),[1]!MOVIMENTACOES[[#This Row],[Descrição]]))</f>
        <v>INNOVA SCRUB APRICOT</v>
      </c>
      <c r="D18" s="11" t="str">
        <f>_xlfn.CONCAT([1]!MOVIMENTACOES[[#This Row],[FABRICANTE]],[1]!MOVIMENTACOES[[#This Row],[DESCRIÇÃO SEM EMBALAGEM]],[1]!MOVIMENTACOES[[#This Row],[Coluna1]])</f>
        <v>COMPOMATINNOVA SCRUB APRICOT25</v>
      </c>
      <c r="E18" s="12">
        <f>_xlfn.XLOOKUP([1]!MOVIMENTACOES[[#This Row],[CONCAT]],'[2]PRICE LIST'!$G:$G,'[2]PRICE LIST'!$Q:$Q,"VERIFICAR",0,1)</f>
        <v>15.436363636363636</v>
      </c>
      <c r="F18" s="13">
        <f>_xlfn.XLOOKUP([1]!MOVIMENTACOES[[#This Row],[Data]],[1]PTAX!A:A,[1]PTAX!C:C,"VERIFICAR",0,1)*[1]!MOVIMENTACOES[[#This Row],[PREÇO DE LISTA DOLAR]]</f>
        <v>83.033743636363639</v>
      </c>
      <c r="G18" s="14">
        <f>[1]!MOVIMENTACOES[[#This Row],[PREÇO NET]]-[1]!MOVIMENTACOES[[#This Row],[PREÇO DE LISTA REAL]]</f>
        <v>55.460256363636333</v>
      </c>
      <c r="H18" s="15">
        <f>-[1]!MOVIMENTACOES[[#This Row],[DESCONTO CONCEDIDO]]/[1]!MOVIMENTACOES[[#This Row],[PREÇO DE LISTA REAL]]</f>
        <v>-0.66792431528220508</v>
      </c>
      <c r="I1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138.49399999999997</v>
      </c>
      <c r="J18" s="15">
        <f>VLOOKUP([1]!MOVIMENTACOES[[#This Row],[DESC %]],[1]!DESC[#Data],2,TRUE)</f>
        <v>0.01</v>
      </c>
      <c r="K18" s="15">
        <f>_xlfn.XLOOKUP([1]!MOVIMENTACOES[[#This Row],[NF-e]],'[1]PEDIDOS E COMISSOES'!A:A,'[1]PEDIDOS E COMISSOES'!E:E,"VERIFICAR",0,1)</f>
        <v>-5.0000000000000001E-4</v>
      </c>
      <c r="L18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18" s="16">
        <f>[1]!MOVIMENTACOES[[#This Row],[COMISSÃO FINAL]]*([1]!MOVIMENTACOES[[#This Row],[PREÇO NET]]*[1]!MOVIMENTACOES[[#This Row],[Qtde]])</f>
        <v>32.892324999999992</v>
      </c>
      <c r="N18" s="14" t="str">
        <f>_xlfn.XLOOKUP(LEFT([1]!MOVIMENTACOES[[#This Row],[Código]],3),'[1]BASE DE FABRICANTES'!A:A,'[1]BASE DE FABRICANTES'!B:B,"VERIFICAR",0,1)</f>
        <v>COMPOMAT</v>
      </c>
      <c r="O18" s="14">
        <f>[1]!MOVIMENTACOES[[#This Row],[PREÇO NET]]*[1]!MOVIMENTACOES[[#This Row],[Qtde]]</f>
        <v>3462.3499999999995</v>
      </c>
      <c r="P18" s="17" t="s">
        <v>220</v>
      </c>
      <c r="Q18" s="17" t="s">
        <v>221</v>
      </c>
      <c r="R18" s="17" t="s">
        <v>49</v>
      </c>
      <c r="S18" s="17" t="s">
        <v>222</v>
      </c>
      <c r="T18" s="18">
        <v>46028</v>
      </c>
      <c r="U18" s="18" t="s">
        <v>223</v>
      </c>
      <c r="V18" s="17" t="s">
        <v>91</v>
      </c>
      <c r="W18" s="17"/>
      <c r="X18" s="17"/>
      <c r="Y18" s="17" t="s">
        <v>224</v>
      </c>
      <c r="Z18" s="17" t="s">
        <v>225</v>
      </c>
      <c r="AA18" s="17" t="s">
        <v>226</v>
      </c>
      <c r="AB18" s="17"/>
      <c r="AC18" s="17" t="s">
        <v>227</v>
      </c>
      <c r="AD18" s="17"/>
      <c r="AE18" s="17" t="s">
        <v>44</v>
      </c>
      <c r="AF18" s="17" t="s">
        <v>45</v>
      </c>
      <c r="AG18" s="17" t="s">
        <v>46</v>
      </c>
      <c r="AH18" s="17" t="s">
        <v>146</v>
      </c>
      <c r="AI18" s="17" t="s">
        <v>110</v>
      </c>
      <c r="AJ18" s="19">
        <v>25</v>
      </c>
      <c r="AK18" s="19">
        <v>125</v>
      </c>
      <c r="AL18" s="19">
        <v>0</v>
      </c>
      <c r="AM18" s="20">
        <v>48.8449228144</v>
      </c>
      <c r="AN18" s="20">
        <v>149.72999999999999</v>
      </c>
      <c r="AO18" s="20">
        <v>1221.1230703599999</v>
      </c>
      <c r="AP18" s="20">
        <v>3743.25</v>
      </c>
      <c r="AQ18" s="20">
        <v>3743.25</v>
      </c>
      <c r="AR18" s="20">
        <v>149.72999999999999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/>
      <c r="AY18" s="20"/>
      <c r="AZ18" s="20"/>
      <c r="BA18" s="20">
        <v>0</v>
      </c>
      <c r="BB18" s="20">
        <v>0</v>
      </c>
      <c r="BC18" s="20">
        <v>0</v>
      </c>
      <c r="BD18" s="20">
        <v>3593.52</v>
      </c>
      <c r="BE18" s="20">
        <v>23.36</v>
      </c>
      <c r="BF18" s="20">
        <v>0</v>
      </c>
      <c r="BG18" s="20">
        <v>3593.52</v>
      </c>
      <c r="BH18" s="20">
        <v>107.81</v>
      </c>
      <c r="BI18" s="20">
        <v>0</v>
      </c>
      <c r="BJ18" s="20">
        <v>0</v>
      </c>
      <c r="BK18" s="20">
        <v>0</v>
      </c>
      <c r="BL18" s="17" t="s">
        <v>49</v>
      </c>
      <c r="BM18" s="17"/>
      <c r="BN18" s="17" t="s">
        <v>228</v>
      </c>
      <c r="BO18" s="17" t="s">
        <v>51</v>
      </c>
      <c r="BP18" s="17" t="s">
        <v>229</v>
      </c>
      <c r="BQ18" s="18">
        <v>46553</v>
      </c>
    </row>
    <row r="19" spans="1:69" x14ac:dyDescent="0.25">
      <c r="A19" s="11" t="str">
        <f>LEFT([1]!MOVIMENTACOES[[#This Row],[Código]],9)</f>
        <v>004003001</v>
      </c>
      <c r="B19" s="11" t="s">
        <v>230</v>
      </c>
      <c r="C19" s="11" t="str">
        <f>TRIM(IFERROR(LEFT([1]!MOVIMENTACOES[[#This Row],[Descrição]],SEARCH([1]!MOVIMENTACOES[[#This Row],[EMBALAGEM]],[1]!MOVIMENTACOES[[#This Row],[Descrição]],1)-1),[1]!MOVIMENTACOES[[#This Row],[Descrição]]))</f>
        <v>INNOVA BN-5 PREMIUM</v>
      </c>
      <c r="D19" s="11" t="str">
        <f>_xlfn.CONCAT([1]!MOVIMENTACOES[[#This Row],[FABRICANTE]],[1]!MOVIMENTACOES[[#This Row],[DESCRIÇÃO SEM EMBALAGEM]],[1]!MOVIMENTACOES[[#This Row],[Coluna1]])</f>
        <v>HOCK CHEMIEINNOVA BN-5 PREMIUM10</v>
      </c>
      <c r="E19" s="12">
        <f>_xlfn.XLOOKUP([1]!MOVIMENTACOES[[#This Row],[CONCAT]],'[2]PRICE LIST'!$G:$G,'[2]PRICE LIST'!$Q:$Q,"VERIFICAR",0,1)</f>
        <v>148.88888888888891</v>
      </c>
      <c r="F19" s="13">
        <f>_xlfn.XLOOKUP([1]!MOVIMENTACOES[[#This Row],[Data]],[1]PTAX!A:A,[1]PTAX!C:C,"VERIFICAR",0,1)*[1]!MOVIMENTACOES[[#This Row],[PREÇO DE LISTA DOLAR]]</f>
        <v>800.88822222222234</v>
      </c>
      <c r="G19" s="14">
        <f>[1]!MOVIMENTACOES[[#This Row],[PREÇO NET]]-[1]!MOVIMENTACOES[[#This Row],[PREÇO DE LISTA REAL]]</f>
        <v>-160.89997222222246</v>
      </c>
      <c r="H19" s="15">
        <f>-[1]!MOVIMENTACOES[[#This Row],[DESCONTO CONCEDIDO]]/[1]!MOVIMENTACOES[[#This Row],[PREÇO DE LISTA REAL]]</f>
        <v>0.20090190835342009</v>
      </c>
      <c r="I1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639.98824999999988</v>
      </c>
      <c r="J19" s="15">
        <f>VLOOKUP([1]!MOVIMENTACOES[[#This Row],[DESC %]],[1]!DESC[#Data],2,TRUE)</f>
        <v>2.5000000000000001E-3</v>
      </c>
      <c r="K19" s="15">
        <f>_xlfn.XLOOKUP([1]!MOVIMENTACOES[[#This Row],[NF-e]],'[1]PEDIDOS E COMISSOES'!A:A,'[1]PEDIDOS E COMISSOES'!E:E,"VERIFICAR",0,1)</f>
        <v>-5.0000000000000001E-4</v>
      </c>
      <c r="L19" s="15">
        <f>IF([1]!MOVIMENTACOES[[#This Row],[PERCENTUAL DE COMISSÕES]]+[1]!MOVIMENTACOES[[#This Row],[AJUSTE COMISSÃO]]&lt;0.06%,0.05%,[1]!MOVIMENTACOES[[#This Row],[PERCENTUAL DE COMISSÕES]]+[1]!MOVIMENTACOES[[#This Row],[AJUSTE COMISSÃO]])</f>
        <v>2E-3</v>
      </c>
      <c r="M19" s="16">
        <f>[1]!MOVIMENTACOES[[#This Row],[COMISSÃO FINAL]]*([1]!MOVIMENTACOES[[#This Row],[PREÇO NET]]*[1]!MOVIMENTACOES[[#This Row],[Qtde]])</f>
        <v>51.199059999999989</v>
      </c>
      <c r="N19" s="14" t="str">
        <f>_xlfn.XLOOKUP(LEFT([1]!MOVIMENTACOES[[#This Row],[Código]],3),'[1]BASE DE FABRICANTES'!A:A,'[1]BASE DE FABRICANTES'!B:B,"VERIFICAR",0,1)</f>
        <v>HOCK CHEMIE</v>
      </c>
      <c r="O19" s="14">
        <f>[1]!MOVIMENTACOES[[#This Row],[PREÇO NET]]*[1]!MOVIMENTACOES[[#This Row],[Qtde]]</f>
        <v>25599.529999999995</v>
      </c>
      <c r="P19" s="3" t="s">
        <v>231</v>
      </c>
      <c r="Q19" s="3" t="s">
        <v>232</v>
      </c>
      <c r="R19" s="3" t="s">
        <v>49</v>
      </c>
      <c r="S19" s="3" t="s">
        <v>233</v>
      </c>
      <c r="T19" s="6">
        <v>46028</v>
      </c>
      <c r="U19" s="6" t="s">
        <v>234</v>
      </c>
      <c r="V19" s="3" t="s">
        <v>91</v>
      </c>
      <c r="W19" s="3"/>
      <c r="X19" s="3"/>
      <c r="Y19" s="3" t="s">
        <v>235</v>
      </c>
      <c r="Z19" s="3" t="s">
        <v>236</v>
      </c>
      <c r="AA19" s="3" t="s">
        <v>237</v>
      </c>
      <c r="AB19" s="3"/>
      <c r="AC19" s="3" t="s">
        <v>238</v>
      </c>
      <c r="AD19" s="3" t="s">
        <v>239</v>
      </c>
      <c r="AE19" s="3" t="s">
        <v>44</v>
      </c>
      <c r="AF19" s="3" t="s">
        <v>45</v>
      </c>
      <c r="AG19" s="3" t="s">
        <v>46</v>
      </c>
      <c r="AH19" s="3" t="s">
        <v>47</v>
      </c>
      <c r="AI19" s="3" t="s">
        <v>48</v>
      </c>
      <c r="AJ19" s="4">
        <v>40</v>
      </c>
      <c r="AK19" s="4">
        <v>220</v>
      </c>
      <c r="AL19" s="4">
        <v>0</v>
      </c>
      <c r="AM19" s="5">
        <v>304.9180333333</v>
      </c>
      <c r="AN19" s="5">
        <v>810.04</v>
      </c>
      <c r="AO19" s="5">
        <v>12196.721333332</v>
      </c>
      <c r="AP19" s="5">
        <v>32401.599999999999</v>
      </c>
      <c r="AQ19" s="5">
        <v>32401.599999999999</v>
      </c>
      <c r="AR19" s="5">
        <v>5832.29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/>
      <c r="AY19" s="5"/>
      <c r="AZ19" s="5"/>
      <c r="BA19" s="5">
        <v>0</v>
      </c>
      <c r="BB19" s="5">
        <v>0</v>
      </c>
      <c r="BC19" s="5">
        <v>0</v>
      </c>
      <c r="BD19" s="5">
        <v>26569.31</v>
      </c>
      <c r="BE19" s="5">
        <v>172.7</v>
      </c>
      <c r="BF19" s="5">
        <v>0</v>
      </c>
      <c r="BG19" s="5">
        <v>26569.31</v>
      </c>
      <c r="BH19" s="5">
        <v>797.08</v>
      </c>
      <c r="BI19" s="5">
        <v>0</v>
      </c>
      <c r="BJ19" s="5">
        <v>0</v>
      </c>
      <c r="BK19" s="5">
        <v>0</v>
      </c>
      <c r="BL19" s="3" t="s">
        <v>49</v>
      </c>
      <c r="BM19" s="3"/>
      <c r="BN19" s="3" t="s">
        <v>184</v>
      </c>
      <c r="BO19" s="3" t="s">
        <v>51</v>
      </c>
      <c r="BP19" s="3" t="s">
        <v>240</v>
      </c>
      <c r="BQ19" s="6">
        <v>46668</v>
      </c>
    </row>
    <row r="20" spans="1:69" x14ac:dyDescent="0.25">
      <c r="A20" s="11" t="str">
        <f>LEFT([1]!MOVIMENTACOES[[#This Row],[Código]],9)</f>
        <v>031004010</v>
      </c>
      <c r="B20" s="11" t="s">
        <v>204</v>
      </c>
      <c r="C20" s="11" t="str">
        <f>TRIM(IFERROR(LEFT([1]!MOVIMENTACOES[[#This Row],[Descrição]],SEARCH([1]!MOVIMENTACOES[[#This Row],[EMBALAGEM]],[1]!MOVIMENTACOES[[#This Row],[Descrição]],1)-1),[1]!MOVIMENTACOES[[#This Row],[Descrição]]))</f>
        <v>DIAMINOPYRIMIDINE OXIDE</v>
      </c>
      <c r="D20" s="11" t="str">
        <f>_xlfn.CONCAT([1]!MOVIMENTACOES[[#This Row],[FABRICANTE]],[1]!MOVIMENTACOES[[#This Row],[DESCRIÇÃO SEM EMBALAGEM]],[1]!MOVIMENTACOES[[#This Row],[Coluna1]])</f>
        <v>KUMARDIAMINOPYRIMIDINE OXIDE25</v>
      </c>
      <c r="E20" s="12">
        <f>_xlfn.XLOOKUP([1]!MOVIMENTACOES[[#This Row],[CONCAT]],'[2]PRICE LIST'!$G:$G,'[2]PRICE LIST'!$Q:$Q,"VERIFICAR",0,1)</f>
        <v>794</v>
      </c>
      <c r="F20" s="13">
        <f>_xlfn.XLOOKUP([1]!MOVIMENTACOES[[#This Row],[Data]],[1]PTAX!A:A,[1]PTAX!C:C,"VERIFICAR",0,1)*[1]!MOVIMENTACOES[[#This Row],[PREÇO DE LISTA DOLAR]]</f>
        <v>4271.0054</v>
      </c>
      <c r="G20" s="14">
        <f>[1]!MOVIMENTACOES[[#This Row],[PREÇO NET]]-[1]!MOVIMENTACOES[[#This Row],[PREÇO DE LISTA REAL]]</f>
        <v>-1202.8146000000006</v>
      </c>
      <c r="H20" s="15">
        <f>-[1]!MOVIMENTACOES[[#This Row],[DESCONTO CONCEDIDO]]/[1]!MOVIMENTACOES[[#This Row],[PREÇO DE LISTA REAL]]</f>
        <v>0.28162329178979745</v>
      </c>
      <c r="I2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3068.1907999999994</v>
      </c>
      <c r="J20" s="15">
        <f>VLOOKUP([1]!MOVIMENTACOES[[#This Row],[DESC %]],[1]!DESC[#Data],2,TRUE)</f>
        <v>2.5000000000000001E-3</v>
      </c>
      <c r="K20" s="15">
        <f>_xlfn.XLOOKUP([1]!MOVIMENTACOES[[#This Row],[NF-e]],'[1]PEDIDOS E COMISSOES'!A:A,'[1]PEDIDOS E COMISSOES'!E:E,"VERIFICAR",0,1)</f>
        <v>-5.0000000000000001E-4</v>
      </c>
      <c r="L20" s="15">
        <f>IF([1]!MOVIMENTACOES[[#This Row],[PERCENTUAL DE COMISSÕES]]+[1]!MOVIMENTACOES[[#This Row],[AJUSTE COMISSÃO]]&lt;0.06%,0.05%,[1]!MOVIMENTACOES[[#This Row],[PERCENTUAL DE COMISSÕES]]+[1]!MOVIMENTACOES[[#This Row],[AJUSTE COMISSÃO]])</f>
        <v>2E-3</v>
      </c>
      <c r="M20" s="16">
        <f>[1]!MOVIMENTACOES[[#This Row],[COMISSÃO FINAL]]*([1]!MOVIMENTACOES[[#This Row],[PREÇO NET]]*[1]!MOVIMENTACOES[[#This Row],[Qtde]])</f>
        <v>306.81907999999999</v>
      </c>
      <c r="N20" s="14" t="str">
        <f>_xlfn.XLOOKUP(LEFT([1]!MOVIMENTACOES[[#This Row],[Código]],3),'[1]BASE DE FABRICANTES'!A:A,'[1]BASE DE FABRICANTES'!B:B,"VERIFICAR",0,1)</f>
        <v>KUMAR</v>
      </c>
      <c r="O20" s="14">
        <f>[1]!MOVIMENTACOES[[#This Row],[PREÇO NET]]*[1]!MOVIMENTACOES[[#This Row],[Qtde]]</f>
        <v>153409.53999999998</v>
      </c>
      <c r="P20" s="17" t="s">
        <v>241</v>
      </c>
      <c r="Q20" s="17" t="s">
        <v>242</v>
      </c>
      <c r="R20" s="17" t="s">
        <v>49</v>
      </c>
      <c r="S20" s="17" t="s">
        <v>243</v>
      </c>
      <c r="T20" s="18">
        <v>46028</v>
      </c>
      <c r="U20" s="18" t="s">
        <v>244</v>
      </c>
      <c r="V20" s="17" t="s">
        <v>91</v>
      </c>
      <c r="W20" s="17"/>
      <c r="X20" s="17"/>
      <c r="Y20" s="17" t="s">
        <v>245</v>
      </c>
      <c r="Z20" s="17" t="s">
        <v>246</v>
      </c>
      <c r="AA20" s="17" t="s">
        <v>247</v>
      </c>
      <c r="AB20" s="17"/>
      <c r="AC20" s="17" t="s">
        <v>248</v>
      </c>
      <c r="AD20" s="17" t="s">
        <v>249</v>
      </c>
      <c r="AE20" s="17" t="s">
        <v>44</v>
      </c>
      <c r="AF20" s="17" t="s">
        <v>45</v>
      </c>
      <c r="AG20" s="17" t="s">
        <v>46</v>
      </c>
      <c r="AH20" s="17" t="s">
        <v>250</v>
      </c>
      <c r="AI20" s="17" t="s">
        <v>110</v>
      </c>
      <c r="AJ20" s="19">
        <v>50</v>
      </c>
      <c r="AK20" s="19">
        <v>225</v>
      </c>
      <c r="AL20" s="19">
        <v>0</v>
      </c>
      <c r="AM20" s="20">
        <v>1923.8061666666999</v>
      </c>
      <c r="AN20" s="20">
        <v>3424.11</v>
      </c>
      <c r="AO20" s="20">
        <v>96190.308333334993</v>
      </c>
      <c r="AP20" s="20">
        <v>171205.5</v>
      </c>
      <c r="AQ20" s="20">
        <v>171205.5</v>
      </c>
      <c r="AR20" s="20">
        <v>11984.39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/>
      <c r="AY20" s="20"/>
      <c r="AZ20" s="20"/>
      <c r="BA20" s="20">
        <v>0</v>
      </c>
      <c r="BB20" s="20">
        <v>0</v>
      </c>
      <c r="BC20" s="20">
        <v>0</v>
      </c>
      <c r="BD20" s="20">
        <v>159221.10999999999</v>
      </c>
      <c r="BE20" s="20">
        <v>1034.94</v>
      </c>
      <c r="BF20" s="20">
        <v>0</v>
      </c>
      <c r="BG20" s="20">
        <v>159221.10999999999</v>
      </c>
      <c r="BH20" s="20">
        <v>4776.63</v>
      </c>
      <c r="BI20" s="20">
        <v>0</v>
      </c>
      <c r="BJ20" s="20">
        <v>0</v>
      </c>
      <c r="BK20" s="20">
        <v>0</v>
      </c>
      <c r="BL20" s="17" t="s">
        <v>49</v>
      </c>
      <c r="BM20" s="17"/>
      <c r="BN20" s="17" t="s">
        <v>166</v>
      </c>
      <c r="BO20" s="17" t="s">
        <v>51</v>
      </c>
      <c r="BP20" s="17" t="s">
        <v>251</v>
      </c>
      <c r="BQ20" s="18">
        <v>46996</v>
      </c>
    </row>
    <row r="21" spans="1:69" x14ac:dyDescent="0.25">
      <c r="A21" s="11" t="str">
        <f>LEFT([1]!MOVIMENTACOES[[#This Row],[Código]],9)</f>
        <v>005005001</v>
      </c>
      <c r="B21" s="11" t="s">
        <v>99</v>
      </c>
      <c r="C21" s="11" t="str">
        <f>TRIM(IFERROR(LEFT([1]!MOVIMENTACOES[[#This Row],[Descrição]],SEARCH([1]!MOVIMENTACOES[[#This Row],[EMBALAGEM]],[1]!MOVIMENTACOES[[#This Row],[Descrição]],1)-1),[1]!MOVIMENTACOES[[#This Row],[Descrição]]))</f>
        <v>INNOVA SCRUB WALNUT</v>
      </c>
      <c r="D21" s="11" t="str">
        <f>_xlfn.CONCAT([1]!MOVIMENTACOES[[#This Row],[FABRICANTE]],[1]!MOVIMENTACOES[[#This Row],[DESCRIÇÃO SEM EMBALAGEM]],[1]!MOVIMENTACOES[[#This Row],[Coluna1]])</f>
        <v>ECO-SHELLINNOVA SCRUB WALNUT5</v>
      </c>
      <c r="E21" s="12">
        <f>_xlfn.XLOOKUP([1]!MOVIMENTACOES[[#This Row],[CONCAT]],'[2]PRICE LIST'!$G:$G,'[2]PRICE LIST'!$Q:$Q,"VERIFICAR",0,1)</f>
        <v>10.979999999999999</v>
      </c>
      <c r="F21" s="13">
        <f>_xlfn.XLOOKUP([1]!MOVIMENTACOES[[#This Row],[Data]],[1]PTAX!A:A,[1]PTAX!C:C,"VERIFICAR",0,1)*[1]!MOVIMENTACOES[[#This Row],[PREÇO DE LISTA DOLAR]]</f>
        <v>59.062517999999997</v>
      </c>
      <c r="G21" s="14">
        <f>[1]!MOVIMENTACOES[[#This Row],[PREÇO NET]]-[1]!MOVIMENTACOES[[#This Row],[PREÇO DE LISTA REAL]]</f>
        <v>21.707482000000013</v>
      </c>
      <c r="H21" s="15">
        <f>-[1]!MOVIMENTACOES[[#This Row],[DESCONTO CONCEDIDO]]/[1]!MOVIMENTACOES[[#This Row],[PREÇO DE LISTA REAL]]</f>
        <v>-0.36753397476213279</v>
      </c>
      <c r="I2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80.77000000000001</v>
      </c>
      <c r="J21" s="15">
        <f>VLOOKUP([1]!MOVIMENTACOES[[#This Row],[DESC %]],[1]!DESC[#Data],2,TRUE)</f>
        <v>0.01</v>
      </c>
      <c r="K21" s="15">
        <f>_xlfn.XLOOKUP([1]!MOVIMENTACOES[[#This Row],[NF-e]],'[1]PEDIDOS E COMISSOES'!A:A,'[1]PEDIDOS E COMISSOES'!E:E,"VERIFICAR",0,1)</f>
        <v>5.0000000000000001E-4</v>
      </c>
      <c r="L21" s="15">
        <f>IF([1]!MOVIMENTACOES[[#This Row],[PERCENTUAL DE COMISSÕES]]+[1]!MOVIMENTACOES[[#This Row],[AJUSTE COMISSÃO]]&lt;0.06%,0.05%,[1]!MOVIMENTACOES[[#This Row],[PERCENTUAL DE COMISSÕES]]+[1]!MOVIMENTACOES[[#This Row],[AJUSTE COMISSÃO]])</f>
        <v>1.0500000000000001E-2</v>
      </c>
      <c r="M21" s="16">
        <f>[1]!MOVIMENTACOES[[#This Row],[COMISSÃO FINAL]]*([1]!MOVIMENTACOES[[#This Row],[PREÇO NET]]*[1]!MOVIMENTACOES[[#This Row],[Qtde]])</f>
        <v>4.2404250000000001</v>
      </c>
      <c r="N21" s="14" t="str">
        <f>_xlfn.XLOOKUP(LEFT([1]!MOVIMENTACOES[[#This Row],[Código]],3),'[1]BASE DE FABRICANTES'!A:A,'[1]BASE DE FABRICANTES'!B:B,"VERIFICAR",0,1)</f>
        <v>ECO-SHELL</v>
      </c>
      <c r="O21" s="14">
        <f>[1]!MOVIMENTACOES[[#This Row],[PREÇO NET]]*[1]!MOVIMENTACOES[[#This Row],[Qtde]]</f>
        <v>403.85</v>
      </c>
      <c r="P21" s="3" t="s">
        <v>252</v>
      </c>
      <c r="Q21" s="3" t="s">
        <v>253</v>
      </c>
      <c r="R21" s="3" t="s">
        <v>49</v>
      </c>
      <c r="S21" s="3" t="s">
        <v>222</v>
      </c>
      <c r="T21" s="6">
        <v>46028</v>
      </c>
      <c r="U21" s="6" t="s">
        <v>254</v>
      </c>
      <c r="V21" s="3" t="s">
        <v>91</v>
      </c>
      <c r="W21" s="3"/>
      <c r="X21" s="3"/>
      <c r="Y21" s="3" t="s">
        <v>255</v>
      </c>
      <c r="Z21" s="3" t="s">
        <v>256</v>
      </c>
      <c r="AA21" s="3" t="s">
        <v>257</v>
      </c>
      <c r="AB21" s="3"/>
      <c r="AC21" s="3" t="s">
        <v>258</v>
      </c>
      <c r="AD21" s="3" t="s">
        <v>259</v>
      </c>
      <c r="AE21" s="3" t="s">
        <v>44</v>
      </c>
      <c r="AF21" s="3" t="s">
        <v>45</v>
      </c>
      <c r="AG21" s="3" t="s">
        <v>46</v>
      </c>
      <c r="AH21" s="3" t="s">
        <v>47</v>
      </c>
      <c r="AI21" s="3" t="s">
        <v>260</v>
      </c>
      <c r="AJ21" s="4">
        <v>5</v>
      </c>
      <c r="AK21" s="4">
        <v>10</v>
      </c>
      <c r="AL21" s="4">
        <v>0</v>
      </c>
      <c r="AM21" s="5">
        <v>26.496200000000002</v>
      </c>
      <c r="AN21" s="5">
        <v>102.23</v>
      </c>
      <c r="AO21" s="5">
        <v>132.48099999999999</v>
      </c>
      <c r="AP21" s="5">
        <v>511.15</v>
      </c>
      <c r="AQ21" s="5">
        <v>511.15</v>
      </c>
      <c r="AR21" s="5">
        <v>92.01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/>
      <c r="AY21" s="5"/>
      <c r="AZ21" s="5"/>
      <c r="BA21" s="5">
        <v>0</v>
      </c>
      <c r="BB21" s="5">
        <v>0</v>
      </c>
      <c r="BC21" s="5">
        <v>0</v>
      </c>
      <c r="BD21" s="5">
        <v>419.14</v>
      </c>
      <c r="BE21" s="5">
        <v>2.72</v>
      </c>
      <c r="BF21" s="5">
        <v>0</v>
      </c>
      <c r="BG21" s="5">
        <v>419.14</v>
      </c>
      <c r="BH21" s="5">
        <v>12.57</v>
      </c>
      <c r="BI21" s="5">
        <v>0</v>
      </c>
      <c r="BJ21" s="5">
        <v>0</v>
      </c>
      <c r="BK21" s="5">
        <v>0</v>
      </c>
      <c r="BL21" s="3" t="s">
        <v>49</v>
      </c>
      <c r="BM21" s="3"/>
      <c r="BN21" s="3" t="s">
        <v>184</v>
      </c>
      <c r="BO21" s="3" t="s">
        <v>51</v>
      </c>
      <c r="BP21" s="3" t="s">
        <v>261</v>
      </c>
      <c r="BQ21" s="6">
        <v>46581</v>
      </c>
    </row>
    <row r="22" spans="1:69" x14ac:dyDescent="0.25">
      <c r="A22" s="11" t="str">
        <f>LEFT([1]!MOVIMENTACOES[[#This Row],[Código]],9)</f>
        <v>067004019</v>
      </c>
      <c r="B22" s="11" t="s">
        <v>262</v>
      </c>
      <c r="C22" s="11" t="str">
        <f>TRIM(IFERROR(LEFT([1]!MOVIMENTACOES[[#This Row],[Descrição]],SEARCH([1]!MOVIMENTACOES[[#This Row],[EMBALAGEM]],[1]!MOVIMENTACOES[[#This Row],[Descrição]],1)-1),[1]!MOVIMENTACOES[[#This Row],[Descrição]]))</f>
        <v>PDRN (POLYDEOXYRIBONUCLEOTIDE)</v>
      </c>
      <c r="D22" s="11" t="str">
        <f>_xlfn.CONCAT([1]!MOVIMENTACOES[[#This Row],[FABRICANTE]],[1]!MOVIMENTACOES[[#This Row],[DESCRIÇÃO SEM EMBALAGEM]],[1]!MOVIMENTACOES[[#This Row],[Coluna1]])</f>
        <v>CHEMAXCELPDRN (POLYDEOXYRIBONUCLEOTIDE)0,01</v>
      </c>
      <c r="E22" s="12">
        <f>_xlfn.XLOOKUP([1]!MOVIMENTACOES[[#This Row],[CONCAT]],'[2]PRICE LIST'!$G:$G,'[2]PRICE LIST'!$Q:$Q,"VERIFICAR",0,1)</f>
        <v>46075.153556249999</v>
      </c>
      <c r="F22" s="13">
        <f>_xlfn.XLOOKUP([1]!MOVIMENTACOES[[#This Row],[Data]],[1]PTAX!A:A,[1]PTAX!C:C,"VERIFICAR",0,1)*[1]!MOVIMENTACOES[[#This Row],[PREÇO DE LISTA DOLAR]]</f>
        <v>247842.85849442438</v>
      </c>
      <c r="G22" s="14">
        <f>[1]!MOVIMENTACOES[[#This Row],[PREÇO NET]]-[1]!MOVIMENTACOES[[#This Row],[PREÇO DE LISTA REAL]]</f>
        <v>38931.141505575622</v>
      </c>
      <c r="H22" s="15">
        <f>-[1]!MOVIMENTACOES[[#This Row],[DESCONTO CONCEDIDO]]/[1]!MOVIMENTACOES[[#This Row],[PREÇO DE LISTA REAL]]</f>
        <v>-0.15707994066107595</v>
      </c>
      <c r="I2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286774</v>
      </c>
      <c r="J22" s="15">
        <f>VLOOKUP([1]!MOVIMENTACOES[[#This Row],[DESC %]],[1]!DESC[#Data],2,TRUE)</f>
        <v>0.01</v>
      </c>
      <c r="K22" s="15">
        <f>_xlfn.XLOOKUP([1]!MOVIMENTACOES[[#This Row],[NF-e]],'[1]PEDIDOS E COMISSOES'!A:A,'[1]PEDIDOS E COMISSOES'!E:E,"VERIFICAR",0,1)</f>
        <v>5.0000000000000001E-4</v>
      </c>
      <c r="L22" s="15">
        <f>IF([1]!MOVIMENTACOES[[#This Row],[PERCENTUAL DE COMISSÕES]]+[1]!MOVIMENTACOES[[#This Row],[AJUSTE COMISSÃO]]&lt;0.06%,0.05%,[1]!MOVIMENTACOES[[#This Row],[PERCENTUAL DE COMISSÕES]]+[1]!MOVIMENTACOES[[#This Row],[AJUSTE COMISSÃO]])</f>
        <v>1.0500000000000001E-2</v>
      </c>
      <c r="M22" s="16">
        <f>[1]!MOVIMENTACOES[[#This Row],[COMISSÃO FINAL]]*([1]!MOVIMENTACOES[[#This Row],[PREÇO NET]]*[1]!MOVIMENTACOES[[#This Row],[Qtde]])</f>
        <v>30.111270000000005</v>
      </c>
      <c r="N22" s="14" t="str">
        <f>_xlfn.XLOOKUP(LEFT([1]!MOVIMENTACOES[[#This Row],[Código]],3),'[1]BASE DE FABRICANTES'!A:A,'[1]BASE DE FABRICANTES'!B:B,"VERIFICAR",0,1)</f>
        <v>CHEMAXCEL</v>
      </c>
      <c r="O22" s="14">
        <f>[1]!MOVIMENTACOES[[#This Row],[PREÇO NET]]*[1]!MOVIMENTACOES[[#This Row],[Qtde]]</f>
        <v>2867.7400000000002</v>
      </c>
      <c r="P22" s="17" t="s">
        <v>263</v>
      </c>
      <c r="Q22" s="17" t="s">
        <v>264</v>
      </c>
      <c r="R22" s="17" t="s">
        <v>49</v>
      </c>
      <c r="S22" s="17" t="s">
        <v>265</v>
      </c>
      <c r="T22" s="18">
        <v>46028</v>
      </c>
      <c r="U22" s="18" t="s">
        <v>254</v>
      </c>
      <c r="V22" s="17" t="s">
        <v>91</v>
      </c>
      <c r="W22" s="17"/>
      <c r="X22" s="17"/>
      <c r="Y22" s="17" t="s">
        <v>255</v>
      </c>
      <c r="Z22" s="17" t="s">
        <v>256</v>
      </c>
      <c r="AA22" s="17" t="s">
        <v>257</v>
      </c>
      <c r="AB22" s="17"/>
      <c r="AC22" s="17" t="s">
        <v>258</v>
      </c>
      <c r="AD22" s="17" t="s">
        <v>134</v>
      </c>
      <c r="AE22" s="17" t="s">
        <v>44</v>
      </c>
      <c r="AF22" s="17" t="s">
        <v>45</v>
      </c>
      <c r="AG22" s="17" t="s">
        <v>46</v>
      </c>
      <c r="AH22" s="17" t="s">
        <v>47</v>
      </c>
      <c r="AI22" s="17" t="s">
        <v>260</v>
      </c>
      <c r="AJ22" s="19">
        <v>0.01</v>
      </c>
      <c r="AK22" s="19">
        <v>0.08</v>
      </c>
      <c r="AL22" s="19">
        <v>0</v>
      </c>
      <c r="AM22" s="20">
        <v>241406.51908562781</v>
      </c>
      <c r="AN22" s="20">
        <v>362973</v>
      </c>
      <c r="AO22" s="20">
        <v>2414.0651908562782</v>
      </c>
      <c r="AP22" s="20">
        <v>3629.73</v>
      </c>
      <c r="AQ22" s="20">
        <v>3629.73</v>
      </c>
      <c r="AR22" s="20">
        <v>653.35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/>
      <c r="AY22" s="20"/>
      <c r="AZ22" s="20"/>
      <c r="BA22" s="20">
        <v>0</v>
      </c>
      <c r="BB22" s="20">
        <v>0</v>
      </c>
      <c r="BC22" s="20">
        <v>0</v>
      </c>
      <c r="BD22" s="20">
        <v>2976.38</v>
      </c>
      <c r="BE22" s="20">
        <v>19.350000000000001</v>
      </c>
      <c r="BF22" s="20">
        <v>0</v>
      </c>
      <c r="BG22" s="20">
        <v>2976.38</v>
      </c>
      <c r="BH22" s="20">
        <v>89.29</v>
      </c>
      <c r="BI22" s="20">
        <v>0</v>
      </c>
      <c r="BJ22" s="20">
        <v>0</v>
      </c>
      <c r="BK22" s="20">
        <v>0</v>
      </c>
      <c r="BL22" s="17" t="s">
        <v>49</v>
      </c>
      <c r="BM22" s="17"/>
      <c r="BN22" s="17" t="s">
        <v>184</v>
      </c>
      <c r="BO22" s="17" t="s">
        <v>51</v>
      </c>
      <c r="BP22" s="17" t="s">
        <v>266</v>
      </c>
      <c r="BQ22" s="18">
        <v>46604</v>
      </c>
    </row>
    <row r="23" spans="1:69" x14ac:dyDescent="0.25">
      <c r="A23" s="11" t="str">
        <f>LEFT([1]!MOVIMENTACOES[[#This Row],[Código]],9)</f>
        <v>067004019</v>
      </c>
      <c r="B23" s="11" t="s">
        <v>262</v>
      </c>
      <c r="C23" s="11" t="str">
        <f>TRIM(IFERROR(LEFT([1]!MOVIMENTACOES[[#This Row],[Descrição]],SEARCH([1]!MOVIMENTACOES[[#This Row],[EMBALAGEM]],[1]!MOVIMENTACOES[[#This Row],[Descrição]],1)-1),[1]!MOVIMENTACOES[[#This Row],[Descrição]]))</f>
        <v>PDRN (POLYDEOXYRIBONUCLEOTIDE)</v>
      </c>
      <c r="D23" s="11" t="str">
        <f>_xlfn.CONCAT([1]!MOVIMENTACOES[[#This Row],[FABRICANTE]],[1]!MOVIMENTACOES[[#This Row],[DESCRIÇÃO SEM EMBALAGEM]],[1]!MOVIMENTACOES[[#This Row],[Coluna1]])</f>
        <v>CHEMAXCELPDRN (POLYDEOXYRIBONUCLEOTIDE)0,02</v>
      </c>
      <c r="E23" s="21">
        <v>46075.153556249999</v>
      </c>
      <c r="F23" s="13">
        <f>_xlfn.XLOOKUP([1]!MOVIMENTACOES[[#This Row],[Data]],[1]PTAX!A:A,[1]PTAX!C:C,"VERIFICAR",0,1)*[1]!MOVIMENTACOES[[#This Row],[PREÇO DE LISTA DOLAR]]</f>
        <v>247842.85849442438</v>
      </c>
      <c r="G23" s="14">
        <f>[1]!MOVIMENTACOES[[#This Row],[PREÇO NET]]-[1]!MOVIMENTACOES[[#This Row],[PREÇO DE LISTA REAL]]</f>
        <v>-28578.858494424407</v>
      </c>
      <c r="H23" s="15">
        <f>-[1]!MOVIMENTACOES[[#This Row],[DESCONTO CONCEDIDO]]/[1]!MOVIMENTACOES[[#This Row],[PREÇO DE LISTA REAL]]</f>
        <v>0.11531039735432737</v>
      </c>
      <c r="I2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219263.99999999997</v>
      </c>
      <c r="J23" s="15">
        <f>VLOOKUP([1]!MOVIMENTACOES[[#This Row],[DESC %]],[1]!DESC[#Data],2,TRUE)</f>
        <v>5.0000000000000001E-3</v>
      </c>
      <c r="K23" s="15">
        <f>_xlfn.XLOOKUP([1]!MOVIMENTACOES[[#This Row],[NF-e]],'[1]PEDIDOS E COMISSOES'!A:A,'[1]PEDIDOS E COMISSOES'!E:E,"VERIFICAR",0,1)</f>
        <v>0</v>
      </c>
      <c r="L23" s="15">
        <f>IF([1]!MOVIMENTACOES[[#This Row],[PERCENTUAL DE COMISSÕES]]+[1]!MOVIMENTACOES[[#This Row],[AJUSTE COMISSÃO]]&lt;0.06%,0.05%,[1]!MOVIMENTACOES[[#This Row],[PERCENTUAL DE COMISSÕES]]+[1]!MOVIMENTACOES[[#This Row],[AJUSTE COMISSÃO]])</f>
        <v>5.0000000000000001E-3</v>
      </c>
      <c r="M23" s="16">
        <f>[1]!MOVIMENTACOES[[#This Row],[COMISSÃO FINAL]]*([1]!MOVIMENTACOES[[#This Row],[PREÇO NET]]*[1]!MOVIMENTACOES[[#This Row],[Qtde]])</f>
        <v>21.926399999999997</v>
      </c>
      <c r="N23" s="14" t="str">
        <f>_xlfn.XLOOKUP(LEFT([1]!MOVIMENTACOES[[#This Row],[Código]],3),'[1]BASE DE FABRICANTES'!A:A,'[1]BASE DE FABRICANTES'!B:B,"VERIFICAR",0,1)</f>
        <v>CHEMAXCEL</v>
      </c>
      <c r="O23" s="14">
        <f>[1]!MOVIMENTACOES[[#This Row],[PREÇO NET]]*[1]!MOVIMENTACOES[[#This Row],[Qtde]]</f>
        <v>4385.28</v>
      </c>
      <c r="P23" s="3" t="s">
        <v>263</v>
      </c>
      <c r="Q23" s="3" t="s">
        <v>264</v>
      </c>
      <c r="R23" s="3" t="s">
        <v>49</v>
      </c>
      <c r="S23" s="3" t="s">
        <v>265</v>
      </c>
      <c r="T23" s="6">
        <v>46028</v>
      </c>
      <c r="U23" s="6" t="s">
        <v>267</v>
      </c>
      <c r="V23" s="3" t="s">
        <v>91</v>
      </c>
      <c r="W23" s="3"/>
      <c r="X23" s="3"/>
      <c r="Y23" s="3" t="s">
        <v>268</v>
      </c>
      <c r="Z23" s="3" t="s">
        <v>269</v>
      </c>
      <c r="AA23" s="3" t="s">
        <v>270</v>
      </c>
      <c r="AB23" s="3"/>
      <c r="AC23" s="3" t="s">
        <v>271</v>
      </c>
      <c r="AD23" s="3" t="s">
        <v>134</v>
      </c>
      <c r="AE23" s="3" t="s">
        <v>44</v>
      </c>
      <c r="AF23" s="3" t="s">
        <v>45</v>
      </c>
      <c r="AG23" s="3" t="s">
        <v>46</v>
      </c>
      <c r="AH23" s="3" t="s">
        <v>47</v>
      </c>
      <c r="AI23" s="3" t="s">
        <v>48</v>
      </c>
      <c r="AJ23" s="4">
        <v>0.02</v>
      </c>
      <c r="AK23" s="4">
        <v>0.09</v>
      </c>
      <c r="AL23" s="4">
        <v>0</v>
      </c>
      <c r="AM23" s="5">
        <v>241406.51908562781</v>
      </c>
      <c r="AN23" s="5">
        <v>277524.5</v>
      </c>
      <c r="AO23" s="5">
        <v>4828.1303817125563</v>
      </c>
      <c r="AP23" s="5">
        <v>5550.49</v>
      </c>
      <c r="AQ23" s="5">
        <v>5550.49</v>
      </c>
      <c r="AR23" s="5">
        <v>999.09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/>
      <c r="AY23" s="5"/>
      <c r="AZ23" s="5"/>
      <c r="BA23" s="5">
        <v>0</v>
      </c>
      <c r="BB23" s="5">
        <v>0</v>
      </c>
      <c r="BC23" s="5">
        <v>0</v>
      </c>
      <c r="BD23" s="5">
        <v>4551.3999999999996</v>
      </c>
      <c r="BE23" s="5">
        <v>29.58</v>
      </c>
      <c r="BF23" s="5">
        <v>0</v>
      </c>
      <c r="BG23" s="5">
        <v>4551.3999999999996</v>
      </c>
      <c r="BH23" s="5">
        <v>136.54</v>
      </c>
      <c r="BI23" s="5">
        <v>0</v>
      </c>
      <c r="BJ23" s="5">
        <v>0</v>
      </c>
      <c r="BK23" s="5">
        <v>0</v>
      </c>
      <c r="BL23" s="3" t="s">
        <v>49</v>
      </c>
      <c r="BM23" s="3"/>
      <c r="BN23" s="3" t="s">
        <v>184</v>
      </c>
      <c r="BO23" s="3" t="s">
        <v>51</v>
      </c>
      <c r="BP23" s="3" t="s">
        <v>266</v>
      </c>
      <c r="BQ23" s="6">
        <v>46604</v>
      </c>
    </row>
    <row r="24" spans="1:69" x14ac:dyDescent="0.25">
      <c r="A24" s="11" t="str">
        <f>LEFT([1]!MOVIMENTACOES[[#This Row],[Código]],9)</f>
        <v>001004050</v>
      </c>
      <c r="B24" s="11" t="s">
        <v>149</v>
      </c>
      <c r="C24" s="11" t="str">
        <f>TRIM(IFERROR(LEFT([1]!MOVIMENTACOES[[#This Row],[Descrição]],SEARCH([1]!MOVIMENTACOES[[#This Row],[EMBALAGEM]],[1]!MOVIMENTACOES[[#This Row],[Descrição]],1)-1),[1]!MOVIMENTACOES[[#This Row],[Descrição]]))</f>
        <v>EARLY BOOST PE</v>
      </c>
      <c r="D24" s="11" t="str">
        <f>_xlfn.CONCAT([1]!MOVIMENTACOES[[#This Row],[FABRICANTE]],[1]!MOVIMENTACOES[[#This Row],[DESCRIÇÃO SEM EMBALAGEM]],[1]!MOVIMENTACOES[[#This Row],[Coluna1]])</f>
        <v>CODIFEARLY BOOST PE1</v>
      </c>
      <c r="E24" s="12">
        <f>_xlfn.XLOOKUP([1]!MOVIMENTACOES[[#This Row],[CONCAT]],'[2]PRICE LIST'!$G:$G,'[2]PRICE LIST'!$Q:$Q,"VERIFICAR",0,1)</f>
        <v>308.50525185999993</v>
      </c>
      <c r="F24" s="13">
        <f>_xlfn.XLOOKUP([1]!MOVIMENTACOES[[#This Row],[Data]],[1]PTAX!A:A,[1]PTAX!C:C,"VERIFICAR",0,1)*[1]!MOVIMENTACOES[[#This Row],[PREÇO DE LISTA DOLAR]]</f>
        <v>1659.4806002801256</v>
      </c>
      <c r="G24" s="14">
        <f>[1]!MOVIMENTACOES[[#This Row],[PREÇO NET]]-[1]!MOVIMENTACOES[[#This Row],[PREÇO DE LISTA REAL]]</f>
        <v>149.57939971987457</v>
      </c>
      <c r="H24" s="15">
        <f>-[1]!MOVIMENTACOES[[#This Row],[DESCONTO CONCEDIDO]]/[1]!MOVIMENTACOES[[#This Row],[PREÇO DE LISTA REAL]]</f>
        <v>-9.0136274985453332E-2</v>
      </c>
      <c r="I2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1809.0600000000002</v>
      </c>
      <c r="J24" s="15">
        <f>VLOOKUP([1]!MOVIMENTACOES[[#This Row],[DESC %]],[1]!DESC[#Data],2,TRUE)</f>
        <v>0.01</v>
      </c>
      <c r="K24" s="15">
        <f>_xlfn.XLOOKUP([1]!MOVIMENTACOES[[#This Row],[NF-e]],'[1]PEDIDOS E COMISSOES'!A:A,'[1]PEDIDOS E COMISSOES'!E:E,"VERIFICAR",0,1)</f>
        <v>0</v>
      </c>
      <c r="L24" s="15">
        <f>IF([1]!MOVIMENTACOES[[#This Row],[PERCENTUAL DE COMISSÕES]]+[1]!MOVIMENTACOES[[#This Row],[AJUSTE COMISSÃO]]&lt;0.06%,0.05%,[1]!MOVIMENTACOES[[#This Row],[PERCENTUAL DE COMISSÕES]]+[1]!MOVIMENTACOES[[#This Row],[AJUSTE COMISSÃO]])</f>
        <v>0.01</v>
      </c>
      <c r="M24" s="16">
        <f>[1]!MOVIMENTACOES[[#This Row],[COMISSÃO FINAL]]*([1]!MOVIMENTACOES[[#This Row],[PREÇO NET]]*[1]!MOVIMENTACOES[[#This Row],[Qtde]])</f>
        <v>36.181200000000004</v>
      </c>
      <c r="N24" s="14" t="str">
        <f>_xlfn.XLOOKUP(LEFT([1]!MOVIMENTACOES[[#This Row],[Código]],3),'[1]BASE DE FABRICANTES'!A:A,'[1]BASE DE FABRICANTES'!B:B,"VERIFICAR",0,1)</f>
        <v>CODIF</v>
      </c>
      <c r="O24" s="14">
        <f>[1]!MOVIMENTACOES[[#This Row],[PREÇO NET]]*[1]!MOVIMENTACOES[[#This Row],[Qtde]]</f>
        <v>3618.1200000000003</v>
      </c>
      <c r="P24" s="17" t="s">
        <v>272</v>
      </c>
      <c r="Q24" s="17" t="s">
        <v>273</v>
      </c>
      <c r="R24" s="17" t="s">
        <v>49</v>
      </c>
      <c r="S24" s="17" t="s">
        <v>120</v>
      </c>
      <c r="T24" s="18">
        <v>46028</v>
      </c>
      <c r="U24" s="18" t="s">
        <v>267</v>
      </c>
      <c r="V24" s="17" t="s">
        <v>91</v>
      </c>
      <c r="W24" s="17"/>
      <c r="X24" s="17"/>
      <c r="Y24" s="17" t="s">
        <v>268</v>
      </c>
      <c r="Z24" s="17" t="s">
        <v>269</v>
      </c>
      <c r="AA24" s="17" t="s">
        <v>270</v>
      </c>
      <c r="AB24" s="17"/>
      <c r="AC24" s="17" t="s">
        <v>271</v>
      </c>
      <c r="AD24" s="17" t="s">
        <v>125</v>
      </c>
      <c r="AE24" s="17" t="s">
        <v>44</v>
      </c>
      <c r="AF24" s="17" t="s">
        <v>45</v>
      </c>
      <c r="AG24" s="17" t="s">
        <v>46</v>
      </c>
      <c r="AH24" s="17" t="s">
        <v>47</v>
      </c>
      <c r="AI24" s="17" t="s">
        <v>48</v>
      </c>
      <c r="AJ24" s="19">
        <v>2</v>
      </c>
      <c r="AK24" s="19">
        <v>1</v>
      </c>
      <c r="AL24" s="19">
        <v>0</v>
      </c>
      <c r="AM24" s="20">
        <v>822.42670007770005</v>
      </c>
      <c r="AN24" s="20">
        <v>2289.75</v>
      </c>
      <c r="AO24" s="20">
        <v>1644.8534001554001</v>
      </c>
      <c r="AP24" s="20">
        <v>4579.5</v>
      </c>
      <c r="AQ24" s="20">
        <v>4579.5</v>
      </c>
      <c r="AR24" s="20">
        <v>824.31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/>
      <c r="AY24" s="20"/>
      <c r="AZ24" s="20"/>
      <c r="BA24" s="20">
        <v>0</v>
      </c>
      <c r="BB24" s="20">
        <v>0</v>
      </c>
      <c r="BC24" s="20">
        <v>0</v>
      </c>
      <c r="BD24" s="20">
        <v>3755.19</v>
      </c>
      <c r="BE24" s="20">
        <v>24.41</v>
      </c>
      <c r="BF24" s="20">
        <v>0</v>
      </c>
      <c r="BG24" s="20">
        <v>3755.19</v>
      </c>
      <c r="BH24" s="20">
        <v>112.66</v>
      </c>
      <c r="BI24" s="20">
        <v>0</v>
      </c>
      <c r="BJ24" s="20">
        <v>0</v>
      </c>
      <c r="BK24" s="20">
        <v>0</v>
      </c>
      <c r="BL24" s="17" t="s">
        <v>49</v>
      </c>
      <c r="BM24" s="17"/>
      <c r="BN24" s="17" t="s">
        <v>184</v>
      </c>
      <c r="BO24" s="17" t="s">
        <v>51</v>
      </c>
      <c r="BP24" s="17" t="s">
        <v>274</v>
      </c>
      <c r="BQ24" s="18">
        <v>46776</v>
      </c>
    </row>
    <row r="25" spans="1:69" x14ac:dyDescent="0.25">
      <c r="A25" s="11" t="str">
        <f>LEFT([1]!MOVIMENTACOES[[#This Row],[Código]],9)</f>
        <v>023005001</v>
      </c>
      <c r="B25" s="11" t="s">
        <v>204</v>
      </c>
      <c r="C25" s="11" t="str">
        <f>TRIM(IFERROR(LEFT([1]!MOVIMENTACOES[[#This Row],[Descrição]],SEARCH([1]!MOVIMENTACOES[[#This Row],[EMBALAGEM]],[1]!MOVIMENTACOES[[#This Row],[Descrição]],1)-1),[1]!MOVIMENTACOES[[#This Row],[Descrição]]))</f>
        <v>INNOVA SCRUB APRICOT</v>
      </c>
      <c r="D25" s="11" t="str">
        <f>_xlfn.CONCAT([1]!MOVIMENTACOES[[#This Row],[FABRICANTE]],[1]!MOVIMENTACOES[[#This Row],[DESCRIÇÃO SEM EMBALAGEM]],[1]!MOVIMENTACOES[[#This Row],[Coluna1]])</f>
        <v>COMPOMATINNOVA SCRUB APRICOT25</v>
      </c>
      <c r="E25" s="12">
        <f>_xlfn.XLOOKUP([1]!MOVIMENTACOES[[#This Row],[CONCAT]],'[2]PRICE LIST'!$G:$G,'[2]PRICE LIST'!$Q:$Q,"VERIFICAR",0,1)</f>
        <v>15.436363636363636</v>
      </c>
      <c r="F25" s="13">
        <f>_xlfn.XLOOKUP([1]!MOVIMENTACOES[[#This Row],[Data]],[1]PTAX!A:A,[1]PTAX!C:C,"VERIFICAR",0,1)*[1]!MOVIMENTACOES[[#This Row],[PREÇO DE LISTA DOLAR]]</f>
        <v>83.033743636363639</v>
      </c>
      <c r="G25" s="14">
        <f>[1]!MOVIMENTACOES[[#This Row],[PREÇO NET]]-[1]!MOVIMENTACOES[[#This Row],[PREÇO DE LISTA REAL]]</f>
        <v>57.637856363636374</v>
      </c>
      <c r="H25" s="15">
        <f>-[1]!MOVIMENTACOES[[#This Row],[DESCONTO CONCEDIDO]]/[1]!MOVIMENTACOES[[#This Row],[PREÇO DE LISTA REAL]]</f>
        <v>-0.6941497978948713</v>
      </c>
      <c r="I2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140.67160000000001</v>
      </c>
      <c r="J25" s="15">
        <f>VLOOKUP([1]!MOVIMENTACOES[[#This Row],[DESC %]],[1]!DESC[#Data],2,TRUE)</f>
        <v>0.01</v>
      </c>
      <c r="K25" s="15">
        <f>_xlfn.XLOOKUP([1]!MOVIMENTACOES[[#This Row],[NF-e]],'[1]PEDIDOS E COMISSOES'!A:A,'[1]PEDIDOS E COMISSOES'!E:E,"VERIFICAR",0,1)</f>
        <v>5.0000000000000001E-4</v>
      </c>
      <c r="L25" s="15">
        <f>IF([1]!MOVIMENTACOES[[#This Row],[PERCENTUAL DE COMISSÕES]]+[1]!MOVIMENTACOES[[#This Row],[AJUSTE COMISSÃO]]&lt;0.06%,0.05%,[1]!MOVIMENTACOES[[#This Row],[PERCENTUAL DE COMISSÕES]]+[1]!MOVIMENTACOES[[#This Row],[AJUSTE COMISSÃO]])</f>
        <v>1.0500000000000001E-2</v>
      </c>
      <c r="M25" s="16">
        <f>[1]!MOVIMENTACOES[[#This Row],[COMISSÃO FINAL]]*([1]!MOVIMENTACOES[[#This Row],[PREÇO NET]]*[1]!MOVIMENTACOES[[#This Row],[Qtde]])</f>
        <v>36.926295000000003</v>
      </c>
      <c r="N25" s="14" t="str">
        <f>_xlfn.XLOOKUP(LEFT([1]!MOVIMENTACOES[[#This Row],[Código]],3),'[1]BASE DE FABRICANTES'!A:A,'[1]BASE DE FABRICANTES'!B:B,"VERIFICAR",0,1)</f>
        <v>COMPOMAT</v>
      </c>
      <c r="O25" s="14">
        <f>[1]!MOVIMENTACOES[[#This Row],[PREÇO NET]]*[1]!MOVIMENTACOES[[#This Row],[Qtde]]</f>
        <v>3516.7900000000004</v>
      </c>
      <c r="P25" s="3" t="s">
        <v>220</v>
      </c>
      <c r="Q25" s="3" t="s">
        <v>221</v>
      </c>
      <c r="R25" s="3" t="s">
        <v>49</v>
      </c>
      <c r="S25" s="3" t="s">
        <v>222</v>
      </c>
      <c r="T25" s="6">
        <v>46028</v>
      </c>
      <c r="U25" s="6" t="s">
        <v>275</v>
      </c>
      <c r="V25" s="3" t="s">
        <v>91</v>
      </c>
      <c r="W25" s="3"/>
      <c r="X25" s="3"/>
      <c r="Y25" s="3" t="s">
        <v>276</v>
      </c>
      <c r="Z25" s="3" t="s">
        <v>277</v>
      </c>
      <c r="AA25" s="3" t="s">
        <v>278</v>
      </c>
      <c r="AB25" s="3"/>
      <c r="AC25" s="3" t="s">
        <v>279</v>
      </c>
      <c r="AD25" s="3"/>
      <c r="AE25" s="3" t="s">
        <v>44</v>
      </c>
      <c r="AF25" s="3" t="s">
        <v>45</v>
      </c>
      <c r="AG25" s="3" t="s">
        <v>46</v>
      </c>
      <c r="AH25" s="3" t="s">
        <v>47</v>
      </c>
      <c r="AI25" s="3" t="s">
        <v>48</v>
      </c>
      <c r="AJ25" s="4">
        <v>25</v>
      </c>
      <c r="AK25" s="4">
        <v>150</v>
      </c>
      <c r="AL25" s="4">
        <v>0</v>
      </c>
      <c r="AM25" s="5">
        <v>48.8449228144</v>
      </c>
      <c r="AN25" s="5">
        <v>178.05</v>
      </c>
      <c r="AO25" s="5">
        <v>1221.1230703599999</v>
      </c>
      <c r="AP25" s="5">
        <v>4451.25</v>
      </c>
      <c r="AQ25" s="5">
        <v>4451.25</v>
      </c>
      <c r="AR25" s="5">
        <v>801.23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/>
      <c r="AY25" s="5"/>
      <c r="AZ25" s="5"/>
      <c r="BA25" s="5">
        <v>0</v>
      </c>
      <c r="BB25" s="5">
        <v>0</v>
      </c>
      <c r="BC25" s="5">
        <v>0</v>
      </c>
      <c r="BD25" s="5">
        <v>3650.02</v>
      </c>
      <c r="BE25" s="5">
        <v>23.73</v>
      </c>
      <c r="BF25" s="5">
        <v>0</v>
      </c>
      <c r="BG25" s="5">
        <v>3650.02</v>
      </c>
      <c r="BH25" s="5">
        <v>109.5</v>
      </c>
      <c r="BI25" s="5">
        <v>0</v>
      </c>
      <c r="BJ25" s="5">
        <v>0</v>
      </c>
      <c r="BK25" s="5">
        <v>0</v>
      </c>
      <c r="BL25" s="3" t="s">
        <v>49</v>
      </c>
      <c r="BM25" s="3"/>
      <c r="BN25" s="3" t="s">
        <v>97</v>
      </c>
      <c r="BO25" s="3" t="s">
        <v>51</v>
      </c>
      <c r="BP25" s="3" t="s">
        <v>229</v>
      </c>
      <c r="BQ25" s="6">
        <v>46553</v>
      </c>
    </row>
    <row r="26" spans="1:69" x14ac:dyDescent="0.25">
      <c r="A26" s="11" t="str">
        <f>LEFT([1]!MOVIMENTACOES[[#This Row],[Código]],9)</f>
        <v>001004114</v>
      </c>
      <c r="B26" s="11" t="s">
        <v>149</v>
      </c>
      <c r="C26" s="11" t="str">
        <f>TRIM(IFERROR(LEFT([1]!MOVIMENTACOES[[#This Row],[Descrição]],SEARCH([1]!MOVIMENTACOES[[#This Row],[EMBALAGEM]],[1]!MOVIMENTACOES[[#This Row],[Descrição]],1)-1),[1]!MOVIMENTACOES[[#This Row],[Descrição]]))</f>
        <v>SAMPHIRA OIL BIOACTIVE</v>
      </c>
      <c r="D26" s="11" t="str">
        <f>_xlfn.CONCAT([1]!MOVIMENTACOES[[#This Row],[FABRICANTE]],[1]!MOVIMENTACOES[[#This Row],[DESCRIÇÃO SEM EMBALAGEM]],[1]!MOVIMENTACOES[[#This Row],[Coluna1]])</f>
        <v>CODIFSAMPHIRA OIL BIOACTIVE1</v>
      </c>
      <c r="E26" s="12">
        <f>_xlfn.XLOOKUP([1]!MOVIMENTACOES[[#This Row],[CONCAT]],'[2]PRICE LIST'!$G:$G,'[2]PRICE LIST'!$Q:$Q,"VERIFICAR",0,1)</f>
        <v>1697.2401532200001</v>
      </c>
      <c r="F26" s="13">
        <f>_xlfn.XLOOKUP([1]!MOVIMENTACOES[[#This Row],[Data]],[1]PTAX!A:A,[1]PTAX!C:C,"VERIFICAR",0,1)*[1]!MOVIMENTACOES[[#This Row],[PREÇO DE LISTA DOLAR]]</f>
        <v>9129.6245081857032</v>
      </c>
      <c r="G26" s="14">
        <f>[1]!MOVIMENTACOES[[#This Row],[PREÇO NET]]-[1]!MOVIMENTACOES[[#This Row],[PREÇO DE LISTA REAL]]</f>
        <v>1911.8254918142957</v>
      </c>
      <c r="H26" s="15">
        <f>-[1]!MOVIMENTACOES[[#This Row],[DESCONTO CONCEDIDO]]/[1]!MOVIMENTACOES[[#This Row],[PREÇO DE LISTA REAL]]</f>
        <v>-0.20940899487160022</v>
      </c>
      <c r="I2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11041.449999999999</v>
      </c>
      <c r="J26" s="15">
        <f>VLOOKUP([1]!MOVIMENTACOES[[#This Row],[DESC %]],[1]!DESC[#Data],2,TRUE)</f>
        <v>0.01</v>
      </c>
      <c r="K26" s="15">
        <f>_xlfn.XLOOKUP([1]!MOVIMENTACOES[[#This Row],[NF-e]],'[1]PEDIDOS E COMISSOES'!A:A,'[1]PEDIDOS E COMISSOES'!E:E,"VERIFICAR",0,1)</f>
        <v>-1E-3</v>
      </c>
      <c r="L26" s="15">
        <f>IF([1]!MOVIMENTACOES[[#This Row],[PERCENTUAL DE COMISSÕES]]+[1]!MOVIMENTACOES[[#This Row],[AJUSTE COMISSÃO]]&lt;0.06%,0.05%,[1]!MOVIMENTACOES[[#This Row],[PERCENTUAL DE COMISSÕES]]+[1]!MOVIMENTACOES[[#This Row],[AJUSTE COMISSÃO]])</f>
        <v>9.0000000000000011E-3</v>
      </c>
      <c r="M26" s="16">
        <f>[1]!MOVIMENTACOES[[#This Row],[COMISSÃO FINAL]]*([1]!MOVIMENTACOES[[#This Row],[PREÇO NET]]*[1]!MOVIMENTACOES[[#This Row],[Qtde]])</f>
        <v>198.74610000000001</v>
      </c>
      <c r="N26" s="14" t="str">
        <f>_xlfn.XLOOKUP(LEFT([1]!MOVIMENTACOES[[#This Row],[Código]],3),'[1]BASE DE FABRICANTES'!A:A,'[1]BASE DE FABRICANTES'!B:B,"VERIFICAR",0,1)</f>
        <v>CODIF</v>
      </c>
      <c r="O26" s="14">
        <f>[1]!MOVIMENTACOES[[#This Row],[PREÇO NET]]*[1]!MOVIMENTACOES[[#This Row],[Qtde]]</f>
        <v>22082.899999999998</v>
      </c>
      <c r="P26" s="17" t="s">
        <v>280</v>
      </c>
      <c r="Q26" s="17" t="s">
        <v>281</v>
      </c>
      <c r="R26" s="17" t="s">
        <v>49</v>
      </c>
      <c r="S26" s="17" t="s">
        <v>120</v>
      </c>
      <c r="T26" s="18">
        <v>46028</v>
      </c>
      <c r="U26" s="18" t="s">
        <v>282</v>
      </c>
      <c r="V26" s="17" t="s">
        <v>91</v>
      </c>
      <c r="W26" s="17"/>
      <c r="X26" s="17"/>
      <c r="Y26" s="17" t="s">
        <v>283</v>
      </c>
      <c r="Z26" s="17" t="s">
        <v>284</v>
      </c>
      <c r="AA26" s="17" t="s">
        <v>285</v>
      </c>
      <c r="AB26" s="17"/>
      <c r="AC26" s="17" t="s">
        <v>286</v>
      </c>
      <c r="AD26" s="17" t="s">
        <v>125</v>
      </c>
      <c r="AE26" s="17" t="s">
        <v>44</v>
      </c>
      <c r="AF26" s="17" t="s">
        <v>45</v>
      </c>
      <c r="AG26" s="17" t="s">
        <v>46</v>
      </c>
      <c r="AH26" s="17" t="s">
        <v>250</v>
      </c>
      <c r="AI26" s="17" t="s">
        <v>110</v>
      </c>
      <c r="AJ26" s="19">
        <v>2</v>
      </c>
      <c r="AK26" s="19">
        <v>0</v>
      </c>
      <c r="AL26" s="19">
        <v>0</v>
      </c>
      <c r="AM26" s="20">
        <v>3774.3852361507002</v>
      </c>
      <c r="AN26" s="20">
        <v>11937.22</v>
      </c>
      <c r="AO26" s="20">
        <v>7548.7704723014003</v>
      </c>
      <c r="AP26" s="20">
        <v>23874.44</v>
      </c>
      <c r="AQ26" s="20">
        <v>23874.44</v>
      </c>
      <c r="AR26" s="20">
        <v>954.98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/>
      <c r="AY26" s="20"/>
      <c r="AZ26" s="20"/>
      <c r="BA26" s="20">
        <v>0</v>
      </c>
      <c r="BB26" s="20">
        <v>0</v>
      </c>
      <c r="BC26" s="20">
        <v>0</v>
      </c>
      <c r="BD26" s="20">
        <v>22919.46</v>
      </c>
      <c r="BE26" s="20">
        <v>148.97999999999999</v>
      </c>
      <c r="BF26" s="20">
        <v>0</v>
      </c>
      <c r="BG26" s="20">
        <v>22919.46</v>
      </c>
      <c r="BH26" s="20">
        <v>687.58</v>
      </c>
      <c r="BI26" s="20">
        <v>0</v>
      </c>
      <c r="BJ26" s="20">
        <v>0</v>
      </c>
      <c r="BK26" s="20">
        <v>0</v>
      </c>
      <c r="BL26" s="17" t="s">
        <v>49</v>
      </c>
      <c r="BM26" s="17"/>
      <c r="BN26" s="17" t="s">
        <v>97</v>
      </c>
      <c r="BO26" s="17" t="s">
        <v>51</v>
      </c>
      <c r="BP26" s="17" t="s">
        <v>287</v>
      </c>
      <c r="BQ26" s="18">
        <v>46710</v>
      </c>
    </row>
    <row r="27" spans="1:69" x14ac:dyDescent="0.25">
      <c r="A27" s="11" t="str">
        <f>LEFT([1]!MOVIMENTACOES[[#This Row],[Código]],9)</f>
        <v>001004071</v>
      </c>
      <c r="B27" s="11" t="s">
        <v>149</v>
      </c>
      <c r="C27" s="11" t="str">
        <f>TRIM(IFERROR(LEFT([1]!MOVIMENTACOES[[#This Row],[Descrição]],SEARCH([1]!MOVIMENTACOES[[#This Row],[EMBALAGEM]],[1]!MOVIMENTACOES[[#This Row],[Descrição]],1)-1),[1]!MOVIMENTACOES[[#This Row],[Descrição]]))</f>
        <v>PHEOHYDRANE P</v>
      </c>
      <c r="D27" s="11" t="str">
        <f>_xlfn.CONCAT([1]!MOVIMENTACOES[[#This Row],[FABRICANTE]],[1]!MOVIMENTACOES[[#This Row],[DESCRIÇÃO SEM EMBALAGEM]],[1]!MOVIMENTACOES[[#This Row],[Coluna1]])</f>
        <v>CODIFPHEOHYDRANE P1</v>
      </c>
      <c r="E27" s="12">
        <f>_xlfn.XLOOKUP([1]!MOVIMENTACOES[[#This Row],[CONCAT]],'[2]PRICE LIST'!$G:$G,'[2]PRICE LIST'!$Q:$Q,"VERIFICAR",0,1)</f>
        <v>199.20717265999997</v>
      </c>
      <c r="F27" s="13">
        <f>_xlfn.XLOOKUP([1]!MOVIMENTACOES[[#This Row],[Data]],[1]PTAX!A:A,[1]PTAX!C:C,"VERIFICAR",0,1)*[1]!MOVIMENTACOES[[#This Row],[PREÇO DE LISTA DOLAR]]</f>
        <v>1071.5553024554058</v>
      </c>
      <c r="G27" s="14">
        <f>[1]!MOVIMENTACOES[[#This Row],[PREÇO NET]]-[1]!MOVIMENTACOES[[#This Row],[PREÇO DE LISTA REAL]]</f>
        <v>302.99469754459415</v>
      </c>
      <c r="H27" s="15">
        <f>-[1]!MOVIMENTACOES[[#This Row],[DESCONTO CONCEDIDO]]/[1]!MOVIMENTACOES[[#This Row],[PREÇO DE LISTA REAL]]</f>
        <v>-0.28276160535093209</v>
      </c>
      <c r="I2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1374.55</v>
      </c>
      <c r="J27" s="15">
        <f>VLOOKUP([1]!MOVIMENTACOES[[#This Row],[DESC %]],[1]!DESC[#Data],2,TRUE)</f>
        <v>0.01</v>
      </c>
      <c r="K27" s="15">
        <f>_xlfn.XLOOKUP([1]!MOVIMENTACOES[[#This Row],[NF-e]],'[1]PEDIDOS E COMISSOES'!A:A,'[1]PEDIDOS E COMISSOES'!E:E,"VERIFICAR",0,1)</f>
        <v>-1E-3</v>
      </c>
      <c r="L27" s="15">
        <f>IF([1]!MOVIMENTACOES[[#This Row],[PERCENTUAL DE COMISSÕES]]+[1]!MOVIMENTACOES[[#This Row],[AJUSTE COMISSÃO]]&lt;0.06%,0.05%,[1]!MOVIMENTACOES[[#This Row],[PERCENTUAL DE COMISSÕES]]+[1]!MOVIMENTACOES[[#This Row],[AJUSTE COMISSÃO]])</f>
        <v>9.0000000000000011E-3</v>
      </c>
      <c r="M27" s="16">
        <f>[1]!MOVIMENTACOES[[#This Row],[COMISSÃO FINAL]]*([1]!MOVIMENTACOES[[#This Row],[PREÇO NET]]*[1]!MOVIMENTACOES[[#This Row],[Qtde]])</f>
        <v>12.370950000000001</v>
      </c>
      <c r="N27" s="14" t="str">
        <f>_xlfn.XLOOKUP(LEFT([1]!MOVIMENTACOES[[#This Row],[Código]],3),'[1]BASE DE FABRICANTES'!A:A,'[1]BASE DE FABRICANTES'!B:B,"VERIFICAR",0,1)</f>
        <v>CODIF</v>
      </c>
      <c r="O27" s="14">
        <f>[1]!MOVIMENTACOES[[#This Row],[PREÇO NET]]*[1]!MOVIMENTACOES[[#This Row],[Qtde]]</f>
        <v>1374.55</v>
      </c>
      <c r="P27" s="3" t="s">
        <v>288</v>
      </c>
      <c r="Q27" s="3" t="s">
        <v>289</v>
      </c>
      <c r="R27" s="3" t="s">
        <v>49</v>
      </c>
      <c r="S27" s="3" t="s">
        <v>120</v>
      </c>
      <c r="T27" s="6">
        <v>46028</v>
      </c>
      <c r="U27" s="6" t="s">
        <v>290</v>
      </c>
      <c r="V27" s="3" t="s">
        <v>91</v>
      </c>
      <c r="W27" s="3"/>
      <c r="X27" s="3"/>
      <c r="Y27" s="3" t="s">
        <v>291</v>
      </c>
      <c r="Z27" s="3" t="s">
        <v>292</v>
      </c>
      <c r="AA27" s="3" t="s">
        <v>293</v>
      </c>
      <c r="AB27" s="3"/>
      <c r="AC27" s="3" t="s">
        <v>286</v>
      </c>
      <c r="AD27" s="3" t="s">
        <v>125</v>
      </c>
      <c r="AE27" s="3" t="s">
        <v>44</v>
      </c>
      <c r="AF27" s="3" t="s">
        <v>45</v>
      </c>
      <c r="AG27" s="3" t="s">
        <v>46</v>
      </c>
      <c r="AH27" s="3" t="s">
        <v>250</v>
      </c>
      <c r="AI27" s="3" t="s">
        <v>110</v>
      </c>
      <c r="AJ27" s="4">
        <v>1</v>
      </c>
      <c r="AK27" s="4">
        <v>1</v>
      </c>
      <c r="AL27" s="4">
        <v>0</v>
      </c>
      <c r="AM27" s="5">
        <v>406.23334578740003</v>
      </c>
      <c r="AN27" s="5">
        <v>1486.06</v>
      </c>
      <c r="AO27" s="5">
        <v>406.23334578740003</v>
      </c>
      <c r="AP27" s="5">
        <v>1486.06</v>
      </c>
      <c r="AQ27" s="5">
        <v>1486.06</v>
      </c>
      <c r="AR27" s="5">
        <v>59.44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/>
      <c r="AY27" s="5"/>
      <c r="AZ27" s="5"/>
      <c r="BA27" s="5">
        <v>0</v>
      </c>
      <c r="BB27" s="5">
        <v>0</v>
      </c>
      <c r="BC27" s="5">
        <v>0</v>
      </c>
      <c r="BD27" s="5">
        <v>1426.62</v>
      </c>
      <c r="BE27" s="5">
        <v>9.27</v>
      </c>
      <c r="BF27" s="5">
        <v>0</v>
      </c>
      <c r="BG27" s="5">
        <v>1426.62</v>
      </c>
      <c r="BH27" s="5">
        <v>42.8</v>
      </c>
      <c r="BI27" s="5">
        <v>0</v>
      </c>
      <c r="BJ27" s="5">
        <v>0</v>
      </c>
      <c r="BK27" s="5">
        <v>0</v>
      </c>
      <c r="BL27" s="3" t="s">
        <v>49</v>
      </c>
      <c r="BM27" s="3"/>
      <c r="BN27" s="3" t="s">
        <v>97</v>
      </c>
      <c r="BO27" s="3" t="s">
        <v>51</v>
      </c>
      <c r="BP27" s="3" t="s">
        <v>294</v>
      </c>
      <c r="BQ27" s="6">
        <v>47029</v>
      </c>
    </row>
    <row r="28" spans="1:69" x14ac:dyDescent="0.25">
      <c r="A28" s="11" t="str">
        <f>LEFT([1]!MOVIMENTACOES[[#This Row],[Código]],9)</f>
        <v>008008001</v>
      </c>
      <c r="B28" s="11" t="s">
        <v>86</v>
      </c>
      <c r="C28" s="11" t="str">
        <f>TRIM(IFERROR(LEFT([1]!MOVIMENTACOES[[#This Row],[Descrição]],SEARCH([1]!MOVIMENTACOES[[#This Row],[EMBALAGEM]],[1]!MOVIMENTACOES[[#This Row],[Descrição]],1)-1),[1]!MOVIMENTACOES[[#This Row],[Descrição]]))</f>
        <v>INNOVA CHARCOAL POWDER 200</v>
      </c>
      <c r="D28" s="11" t="str">
        <f>_xlfn.CONCAT([1]!MOVIMENTACOES[[#This Row],[FABRICANTE]],[1]!MOVIMENTACOES[[#This Row],[DESCRIÇÃO SEM EMBALAGEM]],[1]!MOVIMENTACOES[[#This Row],[Coluna1]])</f>
        <v>KPTINNOVA CHARCOAL POWDER 20020</v>
      </c>
      <c r="E28" s="12">
        <f>_xlfn.XLOOKUP([1]!MOVIMENTACOES[[#This Row],[CONCAT]],'[2]PRICE LIST'!$G:$G,'[2]PRICE LIST'!$Q:$Q,"VERIFICAR",0,1)</f>
        <v>132.5</v>
      </c>
      <c r="F28" s="13">
        <f>_xlfn.XLOOKUP([1]!MOVIMENTACOES[[#This Row],[Data]],[1]PTAX!A:A,[1]PTAX!C:C,"VERIFICAR",0,1)*[1]!MOVIMENTACOES[[#This Row],[PREÇO DE LISTA DOLAR]]</f>
        <v>712.73075000000006</v>
      </c>
      <c r="G28" s="14">
        <f>[1]!MOVIMENTACOES[[#This Row],[PREÇO NET]]-[1]!MOVIMENTACOES[[#This Row],[PREÇO DE LISTA REAL]]</f>
        <v>-148.69978333333336</v>
      </c>
      <c r="H28" s="15">
        <f>-[1]!MOVIMENTACOES[[#This Row],[DESCONTO CONCEDIDO]]/[1]!MOVIMENTACOES[[#This Row],[PREÇO DE LISTA REAL]]</f>
        <v>0.20863388219651438</v>
      </c>
      <c r="I2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564.0309666666667</v>
      </c>
      <c r="J28" s="15">
        <f>VLOOKUP([1]!MOVIMENTACOES[[#This Row],[DESC %]],[1]!DESC[#Data],2,TRUE)</f>
        <v>2.5000000000000001E-3</v>
      </c>
      <c r="K28" s="15">
        <f>_xlfn.XLOOKUP([1]!MOVIMENTACOES[[#This Row],[NF-e]],'[1]PEDIDOS E COMISSOES'!A:A,'[1]PEDIDOS E COMISSOES'!E:E,"VERIFICAR",0,1)</f>
        <v>-4.0000000000000001E-3</v>
      </c>
      <c r="L28" s="15">
        <f>IF([1]!MOVIMENTACOES[[#This Row],[PERCENTUAL DE COMISSÕES]]+[1]!MOVIMENTACOES[[#This Row],[AJUSTE COMISSÃO]]&lt;0.06%,0.05%,[1]!MOVIMENTACOES[[#This Row],[PERCENTUAL DE COMISSÕES]]+[1]!MOVIMENTACOES[[#This Row],[AJUSTE COMISSÃO]])</f>
        <v>5.0000000000000001E-4</v>
      </c>
      <c r="M28" s="16">
        <f>[1]!MOVIMENTACOES[[#This Row],[COMISSÃO FINAL]]*([1]!MOVIMENTACOES[[#This Row],[PREÇO NET]]*[1]!MOVIMENTACOES[[#This Row],[Qtde]])</f>
        <v>84.604645000000005</v>
      </c>
      <c r="N28" s="14" t="str">
        <f>_xlfn.XLOOKUP(LEFT([1]!MOVIMENTACOES[[#This Row],[Código]],3),'[1]BASE DE FABRICANTES'!A:A,'[1]BASE DE FABRICANTES'!B:B,"VERIFICAR",0,1)</f>
        <v>KPT</v>
      </c>
      <c r="O28" s="14">
        <f>[1]!MOVIMENTACOES[[#This Row],[PREÇO NET]]*[1]!MOVIMENTACOES[[#This Row],[Qtde]]</f>
        <v>169209.29</v>
      </c>
      <c r="P28" s="17" t="s">
        <v>295</v>
      </c>
      <c r="Q28" s="17" t="s">
        <v>296</v>
      </c>
      <c r="R28" s="17" t="s">
        <v>49</v>
      </c>
      <c r="S28" s="17" t="s">
        <v>196</v>
      </c>
      <c r="T28" s="18">
        <v>46028</v>
      </c>
      <c r="U28" s="18" t="s">
        <v>297</v>
      </c>
      <c r="V28" s="17" t="s">
        <v>91</v>
      </c>
      <c r="W28" s="17"/>
      <c r="X28" s="17"/>
      <c r="Y28" s="17" t="s">
        <v>298</v>
      </c>
      <c r="Z28" s="17" t="s">
        <v>299</v>
      </c>
      <c r="AA28" s="17" t="s">
        <v>300</v>
      </c>
      <c r="AB28" s="17"/>
      <c r="AC28" s="17" t="s">
        <v>95</v>
      </c>
      <c r="AD28" s="17" t="s">
        <v>96</v>
      </c>
      <c r="AE28" s="17" t="s">
        <v>44</v>
      </c>
      <c r="AF28" s="17" t="s">
        <v>45</v>
      </c>
      <c r="AG28" s="17" t="s">
        <v>46</v>
      </c>
      <c r="AH28" s="17" t="s">
        <v>47</v>
      </c>
      <c r="AI28" s="17" t="s">
        <v>48</v>
      </c>
      <c r="AJ28" s="19">
        <v>300</v>
      </c>
      <c r="AK28" s="19">
        <v>1920</v>
      </c>
      <c r="AL28" s="19">
        <v>0</v>
      </c>
      <c r="AM28" s="20">
        <v>221.2818272264</v>
      </c>
      <c r="AN28" s="20">
        <v>713.9</v>
      </c>
      <c r="AO28" s="20">
        <v>66384.548167920002</v>
      </c>
      <c r="AP28" s="20">
        <v>214170</v>
      </c>
      <c r="AQ28" s="20">
        <v>214170</v>
      </c>
      <c r="AR28" s="20">
        <v>38550.6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/>
      <c r="AY28" s="20"/>
      <c r="AZ28" s="20"/>
      <c r="BA28" s="20">
        <v>0</v>
      </c>
      <c r="BB28" s="20">
        <v>0</v>
      </c>
      <c r="BC28" s="20">
        <v>0</v>
      </c>
      <c r="BD28" s="20">
        <v>175619.4</v>
      </c>
      <c r="BE28" s="20">
        <v>1141.53</v>
      </c>
      <c r="BF28" s="20">
        <v>0</v>
      </c>
      <c r="BG28" s="20">
        <v>175619.4</v>
      </c>
      <c r="BH28" s="20">
        <v>5268.58</v>
      </c>
      <c r="BI28" s="20">
        <v>0</v>
      </c>
      <c r="BJ28" s="20">
        <v>0</v>
      </c>
      <c r="BK28" s="20">
        <v>0</v>
      </c>
      <c r="BL28" s="17" t="s">
        <v>49</v>
      </c>
      <c r="BM28" s="17"/>
      <c r="BN28" s="17" t="s">
        <v>97</v>
      </c>
      <c r="BO28" s="17" t="s">
        <v>51</v>
      </c>
      <c r="BP28" s="17" t="s">
        <v>301</v>
      </c>
      <c r="BQ28" s="18">
        <v>46525</v>
      </c>
    </row>
    <row r="29" spans="1:69" x14ac:dyDescent="0.25">
      <c r="A29" s="11" t="str">
        <f>LEFT([1]!MOVIMENTACOES[[#This Row],[Código]],9)</f>
        <v>008008001</v>
      </c>
      <c r="B29" s="11" t="s">
        <v>86</v>
      </c>
      <c r="C29" s="11" t="str">
        <f>TRIM(IFERROR(LEFT([1]!MOVIMENTACOES[[#This Row],[Descrição]],SEARCH([1]!MOVIMENTACOES[[#This Row],[EMBALAGEM]],[1]!MOVIMENTACOES[[#This Row],[Descrição]],1)-1),[1]!MOVIMENTACOES[[#This Row],[Descrição]]))</f>
        <v>INNOVA CHARCOAL POWDER 200</v>
      </c>
      <c r="D29" s="11" t="str">
        <f>_xlfn.CONCAT([1]!MOVIMENTACOES[[#This Row],[FABRICANTE]],[1]!MOVIMENTACOES[[#This Row],[DESCRIÇÃO SEM EMBALAGEM]],[1]!MOVIMENTACOES[[#This Row],[Coluna1]])</f>
        <v>KPTINNOVA CHARCOAL POWDER 20020</v>
      </c>
      <c r="E29" s="12">
        <f>_xlfn.XLOOKUP([1]!MOVIMENTACOES[[#This Row],[CONCAT]],'[2]PRICE LIST'!$G:$G,'[2]PRICE LIST'!$Q:$Q,"VERIFICAR",0,1)</f>
        <v>132.5</v>
      </c>
      <c r="F29" s="13">
        <f>_xlfn.XLOOKUP([1]!MOVIMENTACOES[[#This Row],[Data]],[1]PTAX!A:A,[1]PTAX!C:C,"VERIFICAR",0,1)*[1]!MOVIMENTACOES[[#This Row],[PREÇO DE LISTA DOLAR]]</f>
        <v>712.73075000000006</v>
      </c>
      <c r="G29" s="14">
        <f>[1]!MOVIMENTACOES[[#This Row],[PREÇO NET]]-[1]!MOVIMENTACOES[[#This Row],[PREÇO DE LISTA REAL]]</f>
        <v>-148.69978333333336</v>
      </c>
      <c r="H29" s="15">
        <f>-[1]!MOVIMENTACOES[[#This Row],[DESCONTO CONCEDIDO]]/[1]!MOVIMENTACOES[[#This Row],[PREÇO DE LISTA REAL]]</f>
        <v>0.20863388219651438</v>
      </c>
      <c r="I2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564.0309666666667</v>
      </c>
      <c r="J29" s="15">
        <f>VLOOKUP([1]!MOVIMENTACOES[[#This Row],[DESC %]],[1]!DESC[#Data],2,TRUE)</f>
        <v>2.5000000000000001E-3</v>
      </c>
      <c r="K29" s="15">
        <f>_xlfn.XLOOKUP([1]!MOVIMENTACOES[[#This Row],[NF-e]],'[1]PEDIDOS E COMISSOES'!A:A,'[1]PEDIDOS E COMISSOES'!E:E,"VERIFICAR",0,1)</f>
        <v>-4.0000000000000001E-3</v>
      </c>
      <c r="L29" s="15">
        <f>IF([1]!MOVIMENTACOES[[#This Row],[PERCENTUAL DE COMISSÕES]]+[1]!MOVIMENTACOES[[#This Row],[AJUSTE COMISSÃO]]&lt;0.06%,0.05%,[1]!MOVIMENTACOES[[#This Row],[PERCENTUAL DE COMISSÕES]]+[1]!MOVIMENTACOES[[#This Row],[AJUSTE COMISSÃO]])</f>
        <v>5.0000000000000001E-4</v>
      </c>
      <c r="M29" s="16">
        <f>[1]!MOVIMENTACOES[[#This Row],[COMISSÃO FINAL]]*([1]!MOVIMENTACOES[[#This Row],[PREÇO NET]]*[1]!MOVIMENTACOES[[#This Row],[Qtde]])</f>
        <v>84.604645000000005</v>
      </c>
      <c r="N29" s="14" t="str">
        <f>_xlfn.XLOOKUP(LEFT([1]!MOVIMENTACOES[[#This Row],[Código]],3),'[1]BASE DE FABRICANTES'!A:A,'[1]BASE DE FABRICANTES'!B:B,"VERIFICAR",0,1)</f>
        <v>KPT</v>
      </c>
      <c r="O29" s="14">
        <f>[1]!MOVIMENTACOES[[#This Row],[PREÇO NET]]*[1]!MOVIMENTACOES[[#This Row],[Qtde]]</f>
        <v>169209.29</v>
      </c>
      <c r="P29" s="3" t="s">
        <v>295</v>
      </c>
      <c r="Q29" s="3" t="s">
        <v>296</v>
      </c>
      <c r="R29" s="3" t="s">
        <v>49</v>
      </c>
      <c r="S29" s="3" t="s">
        <v>196</v>
      </c>
      <c r="T29" s="6">
        <v>46028</v>
      </c>
      <c r="U29" s="6" t="s">
        <v>302</v>
      </c>
      <c r="V29" s="3" t="s">
        <v>91</v>
      </c>
      <c r="W29" s="3"/>
      <c r="X29" s="3"/>
      <c r="Y29" s="3" t="s">
        <v>303</v>
      </c>
      <c r="Z29" s="3" t="s">
        <v>304</v>
      </c>
      <c r="AA29" s="3" t="s">
        <v>305</v>
      </c>
      <c r="AB29" s="3"/>
      <c r="AC29" s="3" t="s">
        <v>95</v>
      </c>
      <c r="AD29" s="3" t="s">
        <v>96</v>
      </c>
      <c r="AE29" s="3" t="s">
        <v>44</v>
      </c>
      <c r="AF29" s="3" t="s">
        <v>45</v>
      </c>
      <c r="AG29" s="3" t="s">
        <v>46</v>
      </c>
      <c r="AH29" s="3" t="s">
        <v>47</v>
      </c>
      <c r="AI29" s="3" t="s">
        <v>48</v>
      </c>
      <c r="AJ29" s="4">
        <v>300</v>
      </c>
      <c r="AK29" s="4">
        <v>2220</v>
      </c>
      <c r="AL29" s="4">
        <v>0</v>
      </c>
      <c r="AM29" s="5">
        <v>221.2818272264</v>
      </c>
      <c r="AN29" s="5">
        <v>713.9</v>
      </c>
      <c r="AO29" s="5">
        <v>66384.548167920002</v>
      </c>
      <c r="AP29" s="5">
        <v>214170</v>
      </c>
      <c r="AQ29" s="5">
        <v>214170</v>
      </c>
      <c r="AR29" s="5">
        <v>38550.6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/>
      <c r="AY29" s="5"/>
      <c r="AZ29" s="5"/>
      <c r="BA29" s="5">
        <v>0</v>
      </c>
      <c r="BB29" s="5">
        <v>0</v>
      </c>
      <c r="BC29" s="5">
        <v>0</v>
      </c>
      <c r="BD29" s="5">
        <v>175619.4</v>
      </c>
      <c r="BE29" s="5">
        <v>1141.53</v>
      </c>
      <c r="BF29" s="5">
        <v>0</v>
      </c>
      <c r="BG29" s="5">
        <v>175619.4</v>
      </c>
      <c r="BH29" s="5">
        <v>5268.58</v>
      </c>
      <c r="BI29" s="5">
        <v>0</v>
      </c>
      <c r="BJ29" s="5">
        <v>0</v>
      </c>
      <c r="BK29" s="5">
        <v>0</v>
      </c>
      <c r="BL29" s="3" t="s">
        <v>49</v>
      </c>
      <c r="BM29" s="3"/>
      <c r="BN29" s="3" t="s">
        <v>97</v>
      </c>
      <c r="BO29" s="3" t="s">
        <v>51</v>
      </c>
      <c r="BP29" s="3" t="s">
        <v>301</v>
      </c>
      <c r="BQ29" s="6">
        <v>46525</v>
      </c>
    </row>
    <row r="30" spans="1:69" x14ac:dyDescent="0.25">
      <c r="A30" s="11" t="str">
        <f>LEFT([1]!MOVIMENTACOES[[#This Row],[Código]],9)</f>
        <v>007002013</v>
      </c>
      <c r="B30" s="11" t="s">
        <v>136</v>
      </c>
      <c r="C30" s="11" t="str">
        <f>TRIM(IFERROR(LEFT([1]!MOVIMENTACOES[[#This Row],[Descrição]],SEARCH([1]!MOVIMENTACOES[[#This Row],[EMBALAGEM]],[1]!MOVIMENTACOES[[#This Row],[Descrição]],1)-1),[1]!MOVIMENTACOES[[#This Row],[Descrição]]))</f>
        <v>NATUROIL AMAZON BABACU</v>
      </c>
      <c r="D30" s="11" t="str">
        <f>_xlfn.CONCAT([1]!MOVIMENTACOES[[#This Row],[FABRICANTE]],[1]!MOVIMENTACOES[[#This Row],[DESCRIÇÃO SEM EMBALAGEM]],[1]!MOVIMENTACOES[[#This Row],[Coluna1]])</f>
        <v>MPRNATUROIL AMAZON BABACU180</v>
      </c>
      <c r="E30" s="22">
        <v>5.86</v>
      </c>
      <c r="F30" s="13">
        <f>_xlfn.XLOOKUP([1]!MOVIMENTACOES[[#This Row],[Data]],[1]PTAX!A:A,[1]PTAX!C:C,"VERIFICAR",0,1)*[1]!MOVIMENTACOES[[#This Row],[PREÇO DE LISTA DOLAR]]</f>
        <v>31.521526000000001</v>
      </c>
      <c r="G30" s="14">
        <f>[1]!MOVIMENTACOES[[#This Row],[PREÇO NET]]-[1]!MOVIMENTACOES[[#This Row],[PREÇO DE LISTA REAL]]</f>
        <v>-3.5198107222222212</v>
      </c>
      <c r="H30" s="15">
        <f>-[1]!MOVIMENTACOES[[#This Row],[DESCONTO CONCEDIDO]]/[1]!MOVIMENTACOES[[#This Row],[PREÇO DE LISTA REAL]]</f>
        <v>0.11166371584364987</v>
      </c>
      <c r="I3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28.00171527777778</v>
      </c>
      <c r="J30" s="15">
        <f>VLOOKUP([1]!MOVIMENTACOES[[#This Row],[DESC %]],[1]!DESC[#Data],2,TRUE)</f>
        <v>5.0000000000000001E-3</v>
      </c>
      <c r="K30" s="15">
        <f>_xlfn.XLOOKUP([1]!MOVIMENTACOES[[#This Row],[NF-e]],'[1]PEDIDOS E COMISSOES'!A:A,'[1]PEDIDOS E COMISSOES'!E:E,"VERIFICAR",0,1)</f>
        <v>-4.0000000000000001E-3</v>
      </c>
      <c r="L30" s="15">
        <f>IF([1]!MOVIMENTACOES[[#This Row],[PERCENTUAL DE COMISSÕES]]+[1]!MOVIMENTACOES[[#This Row],[AJUSTE COMISSÃO]]&lt;0.06%,0.05%,[1]!MOVIMENTACOES[[#This Row],[PERCENTUAL DE COMISSÕES]]+[1]!MOVIMENTACOES[[#This Row],[AJUSTE COMISSÃO]])</f>
        <v>1E-3</v>
      </c>
      <c r="M30" s="16">
        <f>[1]!MOVIMENTACOES[[#This Row],[COMISSÃO FINAL]]*([1]!MOVIMENTACOES[[#This Row],[PREÇO NET]]*[1]!MOVIMENTACOES[[#This Row],[Qtde]])</f>
        <v>40.322470000000003</v>
      </c>
      <c r="N30" s="14" t="str">
        <f>_xlfn.XLOOKUP(LEFT([1]!MOVIMENTACOES[[#This Row],[Código]],3),'[1]BASE DE FABRICANTES'!A:A,'[1]BASE DE FABRICANTES'!B:B,"VERIFICAR",0,1)</f>
        <v>MPR</v>
      </c>
      <c r="O30" s="14">
        <f>[1]!MOVIMENTACOES[[#This Row],[PREÇO NET]]*[1]!MOVIMENTACOES[[#This Row],[Qtde]]</f>
        <v>40322.47</v>
      </c>
      <c r="P30" s="17" t="s">
        <v>306</v>
      </c>
      <c r="Q30" s="17" t="s">
        <v>307</v>
      </c>
      <c r="R30" s="17" t="s">
        <v>49</v>
      </c>
      <c r="S30" s="17" t="s">
        <v>308</v>
      </c>
      <c r="T30" s="18">
        <v>46028</v>
      </c>
      <c r="U30" s="18" t="s">
        <v>309</v>
      </c>
      <c r="V30" s="17" t="s">
        <v>91</v>
      </c>
      <c r="W30" s="17"/>
      <c r="X30" s="17"/>
      <c r="Y30" s="17" t="s">
        <v>310</v>
      </c>
      <c r="Z30" s="17" t="s">
        <v>311</v>
      </c>
      <c r="AA30" s="17" t="s">
        <v>312</v>
      </c>
      <c r="AB30" s="17"/>
      <c r="AC30" s="17" t="s">
        <v>144</v>
      </c>
      <c r="AD30" s="17" t="s">
        <v>145</v>
      </c>
      <c r="AE30" s="17" t="s">
        <v>44</v>
      </c>
      <c r="AF30" s="17" t="s">
        <v>45</v>
      </c>
      <c r="AG30" s="17" t="s">
        <v>46</v>
      </c>
      <c r="AH30" s="17" t="s">
        <v>146</v>
      </c>
      <c r="AI30" s="17" t="s">
        <v>147</v>
      </c>
      <c r="AJ30" s="19">
        <v>1440</v>
      </c>
      <c r="AK30" s="19">
        <v>0</v>
      </c>
      <c r="AL30" s="19">
        <v>0</v>
      </c>
      <c r="AM30" s="20">
        <v>17.138000000000002</v>
      </c>
      <c r="AN30" s="20">
        <v>31.25</v>
      </c>
      <c r="AO30" s="20">
        <v>24678.720000000001</v>
      </c>
      <c r="AP30" s="20">
        <v>45000</v>
      </c>
      <c r="AQ30" s="20">
        <v>45000</v>
      </c>
      <c r="AR30" s="20">
        <v>3150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/>
      <c r="AY30" s="20"/>
      <c r="AZ30" s="20"/>
      <c r="BA30" s="20">
        <v>0</v>
      </c>
      <c r="BB30" s="20">
        <v>0</v>
      </c>
      <c r="BC30" s="20">
        <v>0</v>
      </c>
      <c r="BD30" s="20">
        <v>41850</v>
      </c>
      <c r="BE30" s="20">
        <v>272.02999999999997</v>
      </c>
      <c r="BF30" s="20">
        <v>0</v>
      </c>
      <c r="BG30" s="20">
        <v>41850</v>
      </c>
      <c r="BH30" s="20">
        <v>1255.5</v>
      </c>
      <c r="BI30" s="20">
        <v>0</v>
      </c>
      <c r="BJ30" s="20">
        <v>0</v>
      </c>
      <c r="BK30" s="20">
        <v>0</v>
      </c>
      <c r="BL30" s="17" t="s">
        <v>49</v>
      </c>
      <c r="BM30" s="17"/>
      <c r="BN30" s="17" t="s">
        <v>55</v>
      </c>
      <c r="BO30" s="17" t="s">
        <v>51</v>
      </c>
      <c r="BP30" s="17" t="s">
        <v>313</v>
      </c>
      <c r="BQ30" s="18">
        <v>46349</v>
      </c>
    </row>
    <row r="31" spans="1:69" x14ac:dyDescent="0.25">
      <c r="A31" s="11" t="str">
        <f>LEFT([1]!MOVIMENTACOES[[#This Row],[Código]],9)</f>
        <v>030004027</v>
      </c>
      <c r="B31" s="11" t="s">
        <v>204</v>
      </c>
      <c r="C31" s="11" t="str">
        <f>TRIM(IFERROR(LEFT([1]!MOVIMENTACOES[[#This Row],[Descrição]],SEARCH([1]!MOVIMENTACOES[[#This Row],[EMBALAGEM]],[1]!MOVIMENTACOES[[#This Row],[Descrição]],1)-1),[1]!MOVIMENTACOES[[#This Row],[Descrição]]))</f>
        <v>ASCORBIC ACID</v>
      </c>
      <c r="D31" s="11" t="str">
        <f>_xlfn.CONCAT([1]!MOVIMENTACOES[[#This Row],[FABRICANTE]],[1]!MOVIMENTACOES[[#This Row],[DESCRIÇÃO SEM EMBALAGEM]],[1]!MOVIMENTACOES[[#This Row],[Coluna1]])</f>
        <v>SPEC CHEMASCORBIC ACID25</v>
      </c>
      <c r="E31" s="12">
        <f>_xlfn.XLOOKUP([1]!MOVIMENTACOES[[#This Row],[CONCAT]],'[2]PRICE LIST'!$G:$G,'[2]PRICE LIST'!$Q:$Q,"VERIFICAR",0,1)</f>
        <v>18.8</v>
      </c>
      <c r="F31" s="13">
        <f>_xlfn.XLOOKUP([1]!MOVIMENTACOES[[#This Row],[Data]],[1]PTAX!A:A,[1]PTAX!C:C,"VERIFICAR",0,1)*[1]!MOVIMENTACOES[[#This Row],[PREÇO DE LISTA DOLAR]]</f>
        <v>101.12708000000001</v>
      </c>
      <c r="G31" s="14">
        <f>[1]!MOVIMENTACOES[[#This Row],[PREÇO NET]]-[1]!MOVIMENTACOES[[#This Row],[PREÇO DE LISTA REAL]]</f>
        <v>99.835080000000005</v>
      </c>
      <c r="H31" s="15">
        <f>-[1]!MOVIMENTACOES[[#This Row],[DESCONTO CONCEDIDO]]/[1]!MOVIMENTACOES[[#This Row],[PREÇO DE LISTA REAL]]</f>
        <v>-0.98722399578826958</v>
      </c>
      <c r="I3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200.96216000000001</v>
      </c>
      <c r="J31" s="15">
        <f>VLOOKUP([1]!MOVIMENTACOES[[#This Row],[DESC %]],[1]!DESC[#Data],2,TRUE)</f>
        <v>0.01</v>
      </c>
      <c r="K31" s="23" t="str">
        <f>_xlfn.XLOOKUP([1]!MOVIMENTACOES[[#This Row],[NF-e]],'[1]PEDIDOS E COMISSOES'!A:A,'[1]PEDIDOS E COMISSOES'!E:E,"VERIFICAR",0,1)</f>
        <v>VERIFICAR</v>
      </c>
      <c r="L31" s="15" t="e">
        <f>IF([1]!MOVIMENTACOES[[#This Row],[PERCENTUAL DE COMISSÕES]]+[1]!MOVIMENTACOES[[#This Row],[AJUSTE COMISSÃO]]&lt;0.06%,0.05%,[1]!MOVIMENTACOES[[#This Row],[PERCENTUAL DE COMISSÕES]]+[1]!MOVIMENTACOES[[#This Row],[AJUSTE COMISSÃO]])</f>
        <v>#VALUE!</v>
      </c>
      <c r="M31" s="16" t="e">
        <f>[1]!MOVIMENTACOES[[#This Row],[COMISSÃO FINAL]]*([1]!MOVIMENTACOES[[#This Row],[PREÇO NET]]*[1]!MOVIMENTACOES[[#This Row],[Qtde]])</f>
        <v>#VALUE!</v>
      </c>
      <c r="N31" s="14" t="str">
        <f>_xlfn.XLOOKUP(LEFT([1]!MOVIMENTACOES[[#This Row],[Código]],3),'[1]BASE DE FABRICANTES'!A:A,'[1]BASE DE FABRICANTES'!B:B,"VERIFICAR",0,1)</f>
        <v>SPEC CHEM</v>
      </c>
      <c r="O31" s="14">
        <f>[1]!MOVIMENTACOES[[#This Row],[PREÇO NET]]*[1]!MOVIMENTACOES[[#This Row],[Qtde]]</f>
        <v>25120.27</v>
      </c>
      <c r="P31" s="3" t="s">
        <v>314</v>
      </c>
      <c r="Q31" s="3" t="s">
        <v>315</v>
      </c>
      <c r="R31" s="3" t="s">
        <v>49</v>
      </c>
      <c r="S31" s="3" t="s">
        <v>316</v>
      </c>
      <c r="T31" s="6">
        <v>46028</v>
      </c>
      <c r="U31" s="6" t="s">
        <v>317</v>
      </c>
      <c r="V31" s="3" t="s">
        <v>91</v>
      </c>
      <c r="W31" s="3"/>
      <c r="X31" s="3"/>
      <c r="Y31" s="3" t="s">
        <v>318</v>
      </c>
      <c r="Z31" s="3" t="s">
        <v>319</v>
      </c>
      <c r="AA31" s="3" t="s">
        <v>320</v>
      </c>
      <c r="AB31" s="3"/>
      <c r="AC31" s="3" t="s">
        <v>321</v>
      </c>
      <c r="AD31" s="3" t="s">
        <v>165</v>
      </c>
      <c r="AE31" s="3" t="s">
        <v>44</v>
      </c>
      <c r="AF31" s="3" t="s">
        <v>45</v>
      </c>
      <c r="AG31" s="3" t="s">
        <v>46</v>
      </c>
      <c r="AH31" s="3" t="s">
        <v>47</v>
      </c>
      <c r="AI31" s="3" t="s">
        <v>48</v>
      </c>
      <c r="AJ31" s="4">
        <v>125</v>
      </c>
      <c r="AK31" s="4">
        <v>25</v>
      </c>
      <c r="AL31" s="4">
        <v>0</v>
      </c>
      <c r="AM31" s="5">
        <v>37.6502983946</v>
      </c>
      <c r="AN31" s="5">
        <v>254.36</v>
      </c>
      <c r="AO31" s="5">
        <v>4706.2872993250003</v>
      </c>
      <c r="AP31" s="5">
        <v>31795</v>
      </c>
      <c r="AQ31" s="5">
        <v>31795</v>
      </c>
      <c r="AR31" s="5">
        <v>5723.1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/>
      <c r="AY31" s="5"/>
      <c r="AZ31" s="5"/>
      <c r="BA31" s="5">
        <v>0</v>
      </c>
      <c r="BB31" s="5">
        <v>0</v>
      </c>
      <c r="BC31" s="5">
        <v>0</v>
      </c>
      <c r="BD31" s="5">
        <v>26071.9</v>
      </c>
      <c r="BE31" s="5">
        <v>169.47</v>
      </c>
      <c r="BF31" s="5">
        <v>0</v>
      </c>
      <c r="BG31" s="5">
        <v>26071.9</v>
      </c>
      <c r="BH31" s="5">
        <v>782.16</v>
      </c>
      <c r="BI31" s="5">
        <v>0</v>
      </c>
      <c r="BJ31" s="5">
        <v>0</v>
      </c>
      <c r="BK31" s="5">
        <v>0</v>
      </c>
      <c r="BL31" s="3" t="s">
        <v>49</v>
      </c>
      <c r="BM31" s="3"/>
      <c r="BN31" s="3" t="s">
        <v>55</v>
      </c>
      <c r="BO31" s="3" t="s">
        <v>51</v>
      </c>
      <c r="BP31" s="3" t="s">
        <v>322</v>
      </c>
      <c r="BQ31" s="6">
        <v>46558</v>
      </c>
    </row>
    <row r="32" spans="1:69" x14ac:dyDescent="0.25">
      <c r="A32" s="11" t="str">
        <f>LEFT([1]!MOVIMENTACOES[[#This Row],[Código]],9)</f>
        <v>030004027</v>
      </c>
      <c r="B32" s="11" t="s">
        <v>204</v>
      </c>
      <c r="C32" s="11" t="str">
        <f>TRIM(IFERROR(LEFT([1]!MOVIMENTACOES[[#This Row],[Descrição]],SEARCH([1]!MOVIMENTACOES[[#This Row],[EMBALAGEM]],[1]!MOVIMENTACOES[[#This Row],[Descrição]],1)-1),[1]!MOVIMENTACOES[[#This Row],[Descrição]]))</f>
        <v>ASCORBIC ACID</v>
      </c>
      <c r="D32" s="11" t="str">
        <f>_xlfn.CONCAT([1]!MOVIMENTACOES[[#This Row],[FABRICANTE]],[1]!MOVIMENTACOES[[#This Row],[DESCRIÇÃO SEM EMBALAGEM]],[1]!MOVIMENTACOES[[#This Row],[Coluna1]])</f>
        <v>SPEC CHEMASCORBIC ACID25</v>
      </c>
      <c r="E32" s="12">
        <f>_xlfn.XLOOKUP([1]!MOVIMENTACOES[[#This Row],[CONCAT]],'[2]PRICE LIST'!$G:$G,'[2]PRICE LIST'!$Q:$Q,"VERIFICAR",0,1)</f>
        <v>18.8</v>
      </c>
      <c r="F32" s="13">
        <f>_xlfn.XLOOKUP([1]!MOVIMENTACOES[[#This Row],[Data]],[1]PTAX!A:A,[1]PTAX!C:C,"VERIFICAR",0,1)*[1]!MOVIMENTACOES[[#This Row],[PREÇO DE LISTA DOLAR]]</f>
        <v>101.12708000000001</v>
      </c>
      <c r="G32" s="14">
        <f>[1]!MOVIMENTACOES[[#This Row],[PREÇO NET]]-[1]!MOVIMENTACOES[[#This Row],[PREÇO DE LISTA REAL]]</f>
        <v>99.835319999999967</v>
      </c>
      <c r="H32" s="15">
        <f>-[1]!MOVIMENTACOES[[#This Row],[DESCONTO CONCEDIDO]]/[1]!MOVIMENTACOES[[#This Row],[PREÇO DE LISTA REAL]]</f>
        <v>-0.98722636903982552</v>
      </c>
      <c r="I3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200.96239999999997</v>
      </c>
      <c r="J32" s="15">
        <f>VLOOKUP([1]!MOVIMENTACOES[[#This Row],[DESC %]],[1]!DESC[#Data],2,TRUE)</f>
        <v>0.01</v>
      </c>
      <c r="K32" s="23" t="str">
        <f>_xlfn.XLOOKUP([1]!MOVIMENTACOES[[#This Row],[NF-e]],'[1]PEDIDOS E COMISSOES'!A:A,'[1]PEDIDOS E COMISSOES'!E:E,"VERIFICAR",0,1)</f>
        <v>VERIFICAR</v>
      </c>
      <c r="L32" s="15" t="e">
        <f>IF([1]!MOVIMENTACOES[[#This Row],[PERCENTUAL DE COMISSÕES]]+[1]!MOVIMENTACOES[[#This Row],[AJUSTE COMISSÃO]]&lt;0.06%,0.05%,[1]!MOVIMENTACOES[[#This Row],[PERCENTUAL DE COMISSÕES]]+[1]!MOVIMENTACOES[[#This Row],[AJUSTE COMISSÃO]])</f>
        <v>#VALUE!</v>
      </c>
      <c r="M32" s="16" t="e">
        <f>[1]!MOVIMENTACOES[[#This Row],[COMISSÃO FINAL]]*([1]!MOVIMENTACOES[[#This Row],[PREÇO NET]]*[1]!MOVIMENTACOES[[#This Row],[Qtde]])</f>
        <v>#VALUE!</v>
      </c>
      <c r="N32" s="14" t="str">
        <f>_xlfn.XLOOKUP(LEFT([1]!MOVIMENTACOES[[#This Row],[Código]],3),'[1]BASE DE FABRICANTES'!A:A,'[1]BASE DE FABRICANTES'!B:B,"VERIFICAR",0,1)</f>
        <v>SPEC CHEM</v>
      </c>
      <c r="O32" s="14">
        <f>[1]!MOVIMENTACOES[[#This Row],[PREÇO NET]]*[1]!MOVIMENTACOES[[#This Row],[Qtde]]</f>
        <v>5024.0599999999995</v>
      </c>
      <c r="P32" s="17" t="s">
        <v>314</v>
      </c>
      <c r="Q32" s="17" t="s">
        <v>315</v>
      </c>
      <c r="R32" s="17" t="s">
        <v>49</v>
      </c>
      <c r="S32" s="17" t="s">
        <v>316</v>
      </c>
      <c r="T32" s="18">
        <v>46028</v>
      </c>
      <c r="U32" s="18" t="s">
        <v>317</v>
      </c>
      <c r="V32" s="17" t="s">
        <v>91</v>
      </c>
      <c r="W32" s="17"/>
      <c r="X32" s="17"/>
      <c r="Y32" s="17" t="s">
        <v>318</v>
      </c>
      <c r="Z32" s="17" t="s">
        <v>319</v>
      </c>
      <c r="AA32" s="17" t="s">
        <v>320</v>
      </c>
      <c r="AB32" s="17"/>
      <c r="AC32" s="17" t="s">
        <v>321</v>
      </c>
      <c r="AD32" s="17" t="s">
        <v>165</v>
      </c>
      <c r="AE32" s="17" t="s">
        <v>44</v>
      </c>
      <c r="AF32" s="17" t="s">
        <v>45</v>
      </c>
      <c r="AG32" s="17" t="s">
        <v>46</v>
      </c>
      <c r="AH32" s="17" t="s">
        <v>47</v>
      </c>
      <c r="AI32" s="17" t="s">
        <v>48</v>
      </c>
      <c r="AJ32" s="19">
        <v>25</v>
      </c>
      <c r="AK32" s="19">
        <v>0</v>
      </c>
      <c r="AL32" s="19">
        <v>0</v>
      </c>
      <c r="AM32" s="20">
        <v>37.6502983946</v>
      </c>
      <c r="AN32" s="20">
        <v>254.36</v>
      </c>
      <c r="AO32" s="20">
        <v>941.25745986499999</v>
      </c>
      <c r="AP32" s="20">
        <v>6359</v>
      </c>
      <c r="AQ32" s="20">
        <v>6359</v>
      </c>
      <c r="AR32" s="20">
        <v>1144.6199999999999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/>
      <c r="AY32" s="20"/>
      <c r="AZ32" s="20"/>
      <c r="BA32" s="20">
        <v>0</v>
      </c>
      <c r="BB32" s="20">
        <v>0</v>
      </c>
      <c r="BC32" s="20">
        <v>0</v>
      </c>
      <c r="BD32" s="20">
        <v>5214.38</v>
      </c>
      <c r="BE32" s="20">
        <v>33.89</v>
      </c>
      <c r="BF32" s="20">
        <v>0</v>
      </c>
      <c r="BG32" s="20">
        <v>5214.38</v>
      </c>
      <c r="BH32" s="20">
        <v>156.43</v>
      </c>
      <c r="BI32" s="20">
        <v>0</v>
      </c>
      <c r="BJ32" s="20">
        <v>0</v>
      </c>
      <c r="BK32" s="20">
        <v>0</v>
      </c>
      <c r="BL32" s="17" t="s">
        <v>49</v>
      </c>
      <c r="BM32" s="17"/>
      <c r="BN32" s="17" t="s">
        <v>55</v>
      </c>
      <c r="BO32" s="17" t="s">
        <v>51</v>
      </c>
      <c r="BP32" s="17" t="s">
        <v>323</v>
      </c>
      <c r="BQ32" s="18">
        <v>46215</v>
      </c>
    </row>
    <row r="33" spans="1:69" x14ac:dyDescent="0.25">
      <c r="A33" s="11" t="str">
        <f>LEFT([1]!MOVIMENTACOES[[#This Row],[Código]],9)</f>
        <v>002004013</v>
      </c>
      <c r="B33" s="11" t="s">
        <v>149</v>
      </c>
      <c r="C33" s="11" t="str">
        <f>TRIM(IFERROR(LEFT([1]!MOVIMENTACOES[[#This Row],[Descrição]],SEARCH([1]!MOVIMENTACOES[[#This Row],[EMBALAGEM]],[1]!MOVIMENTACOES[[#This Row],[Descrição]],1)-1),[1]!MOVIMENTACOES[[#This Row],[Descrição]]))</f>
        <v>BIO-SODIUM HYALURONATE POWDER (HMW)</v>
      </c>
      <c r="D33" s="11" t="str">
        <f>_xlfn.CONCAT([1]!MOVIMENTACOES[[#This Row],[FABRICANTE]],[1]!MOVIMENTACOES[[#This Row],[DESCRIÇÃO SEM EMBALAGEM]],[1]!MOVIMENTACOES[[#This Row],[Coluna1]])</f>
        <v>BIOLANDBIO-SODIUM HYALURONATE POWDER (HMW)1</v>
      </c>
      <c r="E33" s="12">
        <f>_xlfn.XLOOKUP([1]!MOVIMENTACOES[[#This Row],[CONCAT]],'[2]PRICE LIST'!$G:$G,'[2]PRICE LIST'!$Q:$Q,"VERIFICAR",0,1)</f>
        <v>3003.7617049999999</v>
      </c>
      <c r="F33" s="13">
        <f>_xlfn.XLOOKUP([1]!MOVIMENTACOES[[#This Row],[Data]],[1]PTAX!A:A,[1]PTAX!C:C,"VERIFICAR",0,1)*[1]!MOVIMENTACOES[[#This Row],[PREÇO DE LISTA DOLAR]]</f>
        <v>16182.465809517</v>
      </c>
      <c r="G33" s="14">
        <f>[1]!MOVIMENTACOES[[#This Row],[PREÇO NET]]-[1]!MOVIMENTACOES[[#This Row],[PREÇO DE LISTA REAL]]</f>
        <v>-5224.0691428503378</v>
      </c>
      <c r="H33" s="15">
        <f>-[1]!MOVIMENTACOES[[#This Row],[DESCONTO CONCEDIDO]]/[1]!MOVIMENTACOES[[#This Row],[PREÇO DE LISTA REAL]]</f>
        <v>0.32282281355280434</v>
      </c>
      <c r="I3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10958.396666666662</v>
      </c>
      <c r="J33" s="15">
        <f>VLOOKUP([1]!MOVIMENTACOES[[#This Row],[DESC %]],[1]!DESC[#Data],2,TRUE)</f>
        <v>2.5000000000000001E-3</v>
      </c>
      <c r="K33" s="15">
        <f>_xlfn.XLOOKUP([1]!MOVIMENTACOES[[#This Row],[NF-e]],'[1]PEDIDOS E COMISSOES'!A:A,'[1]PEDIDOS E COMISSOES'!E:E,"VERIFICAR",0,1)</f>
        <v>0</v>
      </c>
      <c r="L33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33" s="16">
        <f>[1]!MOVIMENTACOES[[#This Row],[COMISSÃO FINAL]]*([1]!MOVIMENTACOES[[#This Row],[PREÇO NET]]*[1]!MOVIMENTACOES[[#This Row],[Qtde]])</f>
        <v>164.37594999999993</v>
      </c>
      <c r="N33" s="14" t="str">
        <f>_xlfn.XLOOKUP(LEFT([1]!MOVIMENTACOES[[#This Row],[Código]],3),'[1]BASE DE FABRICANTES'!A:A,'[1]BASE DE FABRICANTES'!B:B,"VERIFICAR",0,1)</f>
        <v>BIOLAND</v>
      </c>
      <c r="O33" s="14">
        <f>[1]!MOVIMENTACOES[[#This Row],[PREÇO NET]]*[1]!MOVIMENTACOES[[#This Row],[Qtde]]</f>
        <v>65750.379999999976</v>
      </c>
      <c r="P33" s="3" t="s">
        <v>324</v>
      </c>
      <c r="Q33" s="3" t="s">
        <v>325</v>
      </c>
      <c r="R33" s="3" t="s">
        <v>49</v>
      </c>
      <c r="S33" s="3" t="s">
        <v>102</v>
      </c>
      <c r="T33" s="6">
        <v>46029</v>
      </c>
      <c r="U33" s="6" t="s">
        <v>326</v>
      </c>
      <c r="V33" s="3" t="s">
        <v>91</v>
      </c>
      <c r="W33" s="3"/>
      <c r="X33" s="3"/>
      <c r="Y33" s="3" t="s">
        <v>327</v>
      </c>
      <c r="Z33" s="3" t="s">
        <v>328</v>
      </c>
      <c r="AA33" s="3" t="s">
        <v>329</v>
      </c>
      <c r="AB33" s="3"/>
      <c r="AC33" s="3" t="s">
        <v>42</v>
      </c>
      <c r="AD33" s="3" t="s">
        <v>43</v>
      </c>
      <c r="AE33" s="3" t="s">
        <v>44</v>
      </c>
      <c r="AF33" s="3" t="s">
        <v>45</v>
      </c>
      <c r="AG33" s="3" t="s">
        <v>46</v>
      </c>
      <c r="AH33" s="3" t="s">
        <v>47</v>
      </c>
      <c r="AI33" s="3" t="s">
        <v>48</v>
      </c>
      <c r="AJ33" s="4">
        <v>6</v>
      </c>
      <c r="AK33" s="4">
        <v>1</v>
      </c>
      <c r="AL33" s="4">
        <v>0</v>
      </c>
      <c r="AM33" s="5">
        <v>6408.7055534022002</v>
      </c>
      <c r="AN33" s="5">
        <v>13870.16</v>
      </c>
      <c r="AO33" s="5">
        <v>38452.233320413201</v>
      </c>
      <c r="AP33" s="5">
        <v>83220.960000000006</v>
      </c>
      <c r="AQ33" s="5">
        <v>83220.960000000006</v>
      </c>
      <c r="AR33" s="5">
        <v>14979.77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/>
      <c r="AY33" s="5"/>
      <c r="AZ33" s="5"/>
      <c r="BA33" s="5">
        <v>0</v>
      </c>
      <c r="BB33" s="5">
        <v>0</v>
      </c>
      <c r="BC33" s="5">
        <v>0</v>
      </c>
      <c r="BD33" s="5">
        <v>68241.19</v>
      </c>
      <c r="BE33" s="5">
        <v>443.57</v>
      </c>
      <c r="BF33" s="5">
        <v>0</v>
      </c>
      <c r="BG33" s="5">
        <v>68241.19</v>
      </c>
      <c r="BH33" s="5">
        <v>2047.24</v>
      </c>
      <c r="BI33" s="5">
        <v>0</v>
      </c>
      <c r="BJ33" s="5">
        <v>0</v>
      </c>
      <c r="BK33" s="5">
        <v>0</v>
      </c>
      <c r="BL33" s="3" t="s">
        <v>49</v>
      </c>
      <c r="BM33" s="3"/>
      <c r="BN33" s="3" t="s">
        <v>50</v>
      </c>
      <c r="BO33" s="3" t="s">
        <v>51</v>
      </c>
      <c r="BP33" s="3" t="s">
        <v>52</v>
      </c>
      <c r="BQ33" s="6">
        <v>46658</v>
      </c>
    </row>
    <row r="34" spans="1:69" x14ac:dyDescent="0.25">
      <c r="A34" s="11" t="str">
        <f>LEFT([1]!MOVIMENTACOES[[#This Row],[Código]],9)</f>
        <v>072004003</v>
      </c>
      <c r="B34" s="11" t="s">
        <v>99</v>
      </c>
      <c r="C34" s="11" t="str">
        <f>TRIM(IFERROR(LEFT([1]!MOVIMENTACOES[[#This Row],[Descrição]],SEARCH([1]!MOVIMENTACOES[[#This Row],[EMBALAGEM]],[1]!MOVIMENTACOES[[#This Row],[Descrição]],1)-1),[1]!MOVIMENTACOES[[#This Row],[Descrição]]))</f>
        <v>GLUCONOLACTONE</v>
      </c>
      <c r="D34" s="11" t="str">
        <f>_xlfn.CONCAT([1]!MOVIMENTACOES[[#This Row],[FABRICANTE]],[1]!MOVIMENTACOES[[#This Row],[DESCRIÇÃO SEM EMBALAGEM]],[1]!MOVIMENTACOES[[#This Row],[Coluna1]])</f>
        <v>HAIHANGGLUCONOLACTONE5</v>
      </c>
      <c r="E34" s="12">
        <f>_xlfn.XLOOKUP([1]!MOVIMENTACOES[[#This Row],[CONCAT]],'[2]PRICE LIST'!$G:$G,'[2]PRICE LIST'!$Q:$Q,"VERIFICAR",0,1)</f>
        <v>17.842500000000001</v>
      </c>
      <c r="F34" s="13">
        <f>_xlfn.XLOOKUP([1]!MOVIMENTACOES[[#This Row],[Data]],[1]PTAX!A:A,[1]PTAX!C:C,"VERIFICAR",0,1)*[1]!MOVIMENTACOES[[#This Row],[PREÇO DE LISTA DOLAR]]</f>
        <v>96.124684500000015</v>
      </c>
      <c r="G34" s="14">
        <f>[1]!MOVIMENTACOES[[#This Row],[PREÇO NET]]-[1]!MOVIMENTACOES[[#This Row],[PREÇO DE LISTA REAL]]</f>
        <v>-31.856684500000014</v>
      </c>
      <c r="H34" s="15">
        <f>-[1]!MOVIMENTACOES[[#This Row],[DESCONTO CONCEDIDO]]/[1]!MOVIMENTACOES[[#This Row],[PREÇO DE LISTA REAL]]</f>
        <v>0.33141002923135743</v>
      </c>
      <c r="I3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64.268000000000001</v>
      </c>
      <c r="J34" s="15">
        <f>VLOOKUP([1]!MOVIMENTACOES[[#This Row],[DESC %]],[1]!DESC[#Data],2,TRUE)</f>
        <v>2.5000000000000001E-3</v>
      </c>
      <c r="K34" s="15">
        <f>_xlfn.XLOOKUP([1]!MOVIMENTACOES[[#This Row],[NF-e]],'[1]PEDIDOS E COMISSOES'!A:A,'[1]PEDIDOS E COMISSOES'!E:E,"VERIFICAR",0,1)</f>
        <v>0</v>
      </c>
      <c r="L34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34" s="16">
        <f>[1]!MOVIMENTACOES[[#This Row],[COMISSÃO FINAL]]*([1]!MOVIMENTACOES[[#This Row],[PREÇO NET]]*[1]!MOVIMENTACOES[[#This Row],[Qtde]])</f>
        <v>0.80335000000000012</v>
      </c>
      <c r="N34" s="14" t="str">
        <f>_xlfn.XLOOKUP(LEFT([1]!MOVIMENTACOES[[#This Row],[Código]],3),'[1]BASE DE FABRICANTES'!A:A,'[1]BASE DE FABRICANTES'!B:B,"VERIFICAR",0,1)</f>
        <v>HAIHANG</v>
      </c>
      <c r="O34" s="14">
        <f>[1]!MOVIMENTACOES[[#This Row],[PREÇO NET]]*[1]!MOVIMENTACOES[[#This Row],[Qtde]]</f>
        <v>321.34000000000003</v>
      </c>
      <c r="P34" s="17" t="s">
        <v>330</v>
      </c>
      <c r="Q34" s="17" t="s">
        <v>331</v>
      </c>
      <c r="R34" s="17" t="s">
        <v>49</v>
      </c>
      <c r="S34" s="17" t="s">
        <v>332</v>
      </c>
      <c r="T34" s="18">
        <v>46029</v>
      </c>
      <c r="U34" s="18" t="s">
        <v>333</v>
      </c>
      <c r="V34" s="17" t="s">
        <v>91</v>
      </c>
      <c r="W34" s="17"/>
      <c r="X34" s="17"/>
      <c r="Y34" s="17" t="s">
        <v>334</v>
      </c>
      <c r="Z34" s="17" t="s">
        <v>335</v>
      </c>
      <c r="AA34" s="17" t="s">
        <v>336</v>
      </c>
      <c r="AB34" s="17"/>
      <c r="AC34" s="17" t="s">
        <v>337</v>
      </c>
      <c r="AD34" s="17" t="s">
        <v>338</v>
      </c>
      <c r="AE34" s="17" t="s">
        <v>44</v>
      </c>
      <c r="AF34" s="17" t="s">
        <v>45</v>
      </c>
      <c r="AG34" s="17" t="s">
        <v>46</v>
      </c>
      <c r="AH34" s="17" t="s">
        <v>339</v>
      </c>
      <c r="AI34" s="17" t="s">
        <v>110</v>
      </c>
      <c r="AJ34" s="19">
        <v>5</v>
      </c>
      <c r="AK34" s="19">
        <v>55</v>
      </c>
      <c r="AL34" s="19">
        <v>0</v>
      </c>
      <c r="AM34" s="20">
        <v>22.419833333300001</v>
      </c>
      <c r="AN34" s="20">
        <v>75.8</v>
      </c>
      <c r="AO34" s="20">
        <v>112.0991666665</v>
      </c>
      <c r="AP34" s="20">
        <v>379</v>
      </c>
      <c r="AQ34" s="20">
        <v>379</v>
      </c>
      <c r="AR34" s="20">
        <v>45.48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/>
      <c r="AY34" s="20"/>
      <c r="AZ34" s="20"/>
      <c r="BA34" s="20">
        <v>0</v>
      </c>
      <c r="BB34" s="20">
        <v>0</v>
      </c>
      <c r="BC34" s="20">
        <v>0</v>
      </c>
      <c r="BD34" s="20">
        <v>333.52</v>
      </c>
      <c r="BE34" s="20">
        <v>2.17</v>
      </c>
      <c r="BF34" s="20">
        <v>0</v>
      </c>
      <c r="BG34" s="20">
        <v>333.52</v>
      </c>
      <c r="BH34" s="20">
        <v>10.01</v>
      </c>
      <c r="BI34" s="20">
        <v>0</v>
      </c>
      <c r="BJ34" s="20">
        <v>0</v>
      </c>
      <c r="BK34" s="20">
        <v>0</v>
      </c>
      <c r="BL34" s="17" t="s">
        <v>49</v>
      </c>
      <c r="BM34" s="17"/>
      <c r="BN34" s="17" t="s">
        <v>50</v>
      </c>
      <c r="BO34" s="17" t="s">
        <v>51</v>
      </c>
      <c r="BP34" s="17" t="s">
        <v>340</v>
      </c>
      <c r="BQ34" s="18">
        <v>46617</v>
      </c>
    </row>
    <row r="35" spans="1:69" x14ac:dyDescent="0.25">
      <c r="A35" s="11" t="str">
        <f>LEFT([1]!MOVIMENTACOES[[#This Row],[Código]],9)</f>
        <v>001004079</v>
      </c>
      <c r="B35" s="11" t="s">
        <v>149</v>
      </c>
      <c r="C35" s="11" t="str">
        <f>TRIM(IFERROR(LEFT([1]!MOVIMENTACOES[[#This Row],[Descrição]],SEARCH([1]!MOVIMENTACOES[[#This Row],[EMBALAGEM]],[1]!MOVIMENTACOES[[#This Row],[Descrição]],1)-1),[1]!MOVIMENTACOES[[#This Row],[Descrição]]))</f>
        <v>CYBRIGHT GP</v>
      </c>
      <c r="D35" s="11" t="str">
        <f>_xlfn.CONCAT([1]!MOVIMENTACOES[[#This Row],[FABRICANTE]],[1]!MOVIMENTACOES[[#This Row],[DESCRIÇÃO SEM EMBALAGEM]],[1]!MOVIMENTACOES[[#This Row],[Coluna1]])</f>
        <v>CODIFCYBRIGHT GP1</v>
      </c>
      <c r="E35" s="12">
        <f>_xlfn.XLOOKUP([1]!MOVIMENTACOES[[#This Row],[CONCAT]],'[2]PRICE LIST'!$G:$G,'[2]PRICE LIST'!$Q:$Q,"VERIFICAR",0,1)</f>
        <v>171.01692549999996</v>
      </c>
      <c r="F35" s="13">
        <f>_xlfn.XLOOKUP([1]!MOVIMENTACOES[[#This Row],[Data]],[1]PTAX!A:A,[1]PTAX!C:C,"VERIFICAR",0,1)*[1]!MOVIMENTACOES[[#This Row],[PREÇO DE LISTA DOLAR]]</f>
        <v>921.33658443869979</v>
      </c>
      <c r="G35" s="14">
        <f>[1]!MOVIMENTACOES[[#This Row],[PREÇO NET]]-[1]!MOVIMENTACOES[[#This Row],[PREÇO DE LISTA REAL]]</f>
        <v>1138.5434155613002</v>
      </c>
      <c r="H35" s="15">
        <f>-[1]!MOVIMENTACOES[[#This Row],[DESCONTO CONCEDIDO]]/[1]!MOVIMENTACOES[[#This Row],[PREÇO DE LISTA REAL]]</f>
        <v>-1.2357518791625191</v>
      </c>
      <c r="I3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2059.88</v>
      </c>
      <c r="J35" s="15">
        <f>VLOOKUP([1]!MOVIMENTACOES[[#This Row],[DESC %]],[1]!DESC[#Data],2,TRUE)</f>
        <v>0.01</v>
      </c>
      <c r="K35" s="15">
        <f>_xlfn.XLOOKUP([1]!MOVIMENTACOES[[#This Row],[NF-e]],'[1]PEDIDOS E COMISSOES'!A:A,'[1]PEDIDOS E COMISSOES'!E:E,"VERIFICAR",0,1)</f>
        <v>0</v>
      </c>
      <c r="L35" s="15">
        <f>IF([1]!MOVIMENTACOES[[#This Row],[PERCENTUAL DE COMISSÕES]]+[1]!MOVIMENTACOES[[#This Row],[AJUSTE COMISSÃO]]&lt;0.06%,0.05%,[1]!MOVIMENTACOES[[#This Row],[PERCENTUAL DE COMISSÕES]]+[1]!MOVIMENTACOES[[#This Row],[AJUSTE COMISSÃO]])</f>
        <v>0.01</v>
      </c>
      <c r="M35" s="16">
        <f>[1]!MOVIMENTACOES[[#This Row],[COMISSÃO FINAL]]*([1]!MOVIMENTACOES[[#This Row],[PREÇO NET]]*[1]!MOVIMENTACOES[[#This Row],[Qtde]])</f>
        <v>20.598800000000001</v>
      </c>
      <c r="N35" s="14" t="str">
        <f>_xlfn.XLOOKUP(LEFT([1]!MOVIMENTACOES[[#This Row],[Código]],3),'[1]BASE DE FABRICANTES'!A:A,'[1]BASE DE FABRICANTES'!B:B,"VERIFICAR",0,1)</f>
        <v>CODIF</v>
      </c>
      <c r="O35" s="14">
        <f>[1]!MOVIMENTACOES[[#This Row],[PREÇO NET]]*[1]!MOVIMENTACOES[[#This Row],[Qtde]]</f>
        <v>2059.88</v>
      </c>
      <c r="P35" s="3" t="s">
        <v>168</v>
      </c>
      <c r="Q35" s="3" t="s">
        <v>169</v>
      </c>
      <c r="R35" s="3" t="s">
        <v>49</v>
      </c>
      <c r="S35" s="3" t="s">
        <v>120</v>
      </c>
      <c r="T35" s="6">
        <v>46029</v>
      </c>
      <c r="U35" s="6" t="s">
        <v>341</v>
      </c>
      <c r="V35" s="3" t="s">
        <v>91</v>
      </c>
      <c r="W35" s="3"/>
      <c r="X35" s="3"/>
      <c r="Y35" s="3" t="s">
        <v>342</v>
      </c>
      <c r="Z35" s="3" t="s">
        <v>343</v>
      </c>
      <c r="AA35" s="3" t="s">
        <v>344</v>
      </c>
      <c r="AB35" s="3"/>
      <c r="AC35" s="3" t="s">
        <v>345</v>
      </c>
      <c r="AD35" s="3" t="s">
        <v>125</v>
      </c>
      <c r="AE35" s="3" t="s">
        <v>44</v>
      </c>
      <c r="AF35" s="3" t="s">
        <v>45</v>
      </c>
      <c r="AG35" s="3" t="s">
        <v>46</v>
      </c>
      <c r="AH35" s="3" t="s">
        <v>346</v>
      </c>
      <c r="AI35" s="3" t="s">
        <v>347</v>
      </c>
      <c r="AJ35" s="4">
        <v>1</v>
      </c>
      <c r="AK35" s="4">
        <v>90</v>
      </c>
      <c r="AL35" s="4">
        <v>0</v>
      </c>
      <c r="AM35" s="5">
        <v>309.56927233829998</v>
      </c>
      <c r="AN35" s="5">
        <v>2059.88</v>
      </c>
      <c r="AO35" s="5">
        <v>309.56927233829998</v>
      </c>
      <c r="AP35" s="5">
        <v>2059.88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1977.48</v>
      </c>
      <c r="BE35" s="5">
        <v>0</v>
      </c>
      <c r="BF35" s="5">
        <v>0</v>
      </c>
      <c r="BG35" s="5">
        <v>1977.48</v>
      </c>
      <c r="BH35" s="5">
        <v>0</v>
      </c>
      <c r="BI35" s="5">
        <v>0</v>
      </c>
      <c r="BJ35" s="5">
        <v>0</v>
      </c>
      <c r="BK35" s="5">
        <v>0</v>
      </c>
      <c r="BL35" s="3" t="s">
        <v>49</v>
      </c>
      <c r="BM35" s="3"/>
      <c r="BN35" s="3" t="s">
        <v>166</v>
      </c>
      <c r="BO35" s="3" t="s">
        <v>51</v>
      </c>
      <c r="BP35" s="3" t="s">
        <v>175</v>
      </c>
      <c r="BQ35" s="6">
        <v>47055</v>
      </c>
    </row>
    <row r="36" spans="1:69" x14ac:dyDescent="0.25">
      <c r="A36" s="11" t="str">
        <f>LEFT([1]!MOVIMENTACOES[[#This Row],[Código]],9)</f>
        <v>001004055</v>
      </c>
      <c r="B36" s="11" t="s">
        <v>99</v>
      </c>
      <c r="C36" s="11" t="str">
        <f>TRIM(IFERROR(LEFT([1]!MOVIMENTACOES[[#This Row],[Descrição]],SEARCH([1]!MOVIMENTACOES[[#This Row],[EMBALAGEM]],[1]!MOVIMENTACOES[[#This Row],[Descrição]],1)-1),[1]!MOVIMENTACOES[[#This Row],[Descrição]]))</f>
        <v>EARTH MARINE WATER GP</v>
      </c>
      <c r="D36" s="11" t="str">
        <f>_xlfn.CONCAT([1]!MOVIMENTACOES[[#This Row],[FABRICANTE]],[1]!MOVIMENTACOES[[#This Row],[DESCRIÇÃO SEM EMBALAGEM]],[1]!MOVIMENTACOES[[#This Row],[Coluna1]])</f>
        <v>CODIFEARTH MARINE WATER GP5</v>
      </c>
      <c r="E36" s="12">
        <f>_xlfn.XLOOKUP([1]!MOVIMENTACOES[[#This Row],[CONCAT]],'[2]PRICE LIST'!$G:$G,'[2]PRICE LIST'!$Q:$Q,"VERIFICAR",0,1)</f>
        <v>86.227438800000002</v>
      </c>
      <c r="F36" s="13">
        <f>_xlfn.XLOOKUP([1]!MOVIMENTACOES[[#This Row],[Data]],[1]PTAX!A:A,[1]PTAX!C:C,"VERIFICAR",0,1)*[1]!MOVIMENTACOES[[#This Row],[PREÇO DE LISTA DOLAR]]</f>
        <v>464.54170379112003</v>
      </c>
      <c r="G36" s="14">
        <f>[1]!MOVIMENTACOES[[#This Row],[PREÇO NET]]-[1]!MOVIMENTACOES[[#This Row],[PREÇO DE LISTA REAL]]</f>
        <v>460.22829620888007</v>
      </c>
      <c r="H36" s="15">
        <f>-[1]!MOVIMENTACOES[[#This Row],[DESCONTO CONCEDIDO]]/[1]!MOVIMENTACOES[[#This Row],[PREÇO DE LISTA REAL]]</f>
        <v>-0.99071470322892807</v>
      </c>
      <c r="I3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924.7700000000001</v>
      </c>
      <c r="J36" s="15">
        <f>VLOOKUP([1]!MOVIMENTACOES[[#This Row],[DESC %]],[1]!DESC[#Data],2,TRUE)</f>
        <v>0.01</v>
      </c>
      <c r="K36" s="15">
        <f>_xlfn.XLOOKUP([1]!MOVIMENTACOES[[#This Row],[NF-e]],'[1]PEDIDOS E COMISSOES'!A:A,'[1]PEDIDOS E COMISSOES'!E:E,"VERIFICAR",0,1)</f>
        <v>0</v>
      </c>
      <c r="L36" s="15">
        <f>IF([1]!MOVIMENTACOES[[#This Row],[PERCENTUAL DE COMISSÕES]]+[1]!MOVIMENTACOES[[#This Row],[AJUSTE COMISSÃO]]&lt;0.06%,0.05%,[1]!MOVIMENTACOES[[#This Row],[PERCENTUAL DE COMISSÕES]]+[1]!MOVIMENTACOES[[#This Row],[AJUSTE COMISSÃO]])</f>
        <v>0.01</v>
      </c>
      <c r="M36" s="16">
        <f>[1]!MOVIMENTACOES[[#This Row],[COMISSÃO FINAL]]*([1]!MOVIMENTACOES[[#This Row],[PREÇO NET]]*[1]!MOVIMENTACOES[[#This Row],[Qtde]])</f>
        <v>46.238500000000002</v>
      </c>
      <c r="N36" s="14" t="str">
        <f>_xlfn.XLOOKUP(LEFT([1]!MOVIMENTACOES[[#This Row],[Código]],3),'[1]BASE DE FABRICANTES'!A:A,'[1]BASE DE FABRICANTES'!B:B,"VERIFICAR",0,1)</f>
        <v>CODIF</v>
      </c>
      <c r="O36" s="14">
        <f>[1]!MOVIMENTACOES[[#This Row],[PREÇO NET]]*[1]!MOVIMENTACOES[[#This Row],[Qtde]]</f>
        <v>4623.8500000000004</v>
      </c>
      <c r="P36" s="17" t="s">
        <v>348</v>
      </c>
      <c r="Q36" s="17" t="s">
        <v>349</v>
      </c>
      <c r="R36" s="17" t="s">
        <v>49</v>
      </c>
      <c r="S36" s="17" t="s">
        <v>350</v>
      </c>
      <c r="T36" s="18">
        <v>46029</v>
      </c>
      <c r="U36" s="18" t="s">
        <v>341</v>
      </c>
      <c r="V36" s="17" t="s">
        <v>91</v>
      </c>
      <c r="W36" s="17"/>
      <c r="X36" s="17"/>
      <c r="Y36" s="17" t="s">
        <v>342</v>
      </c>
      <c r="Z36" s="17" t="s">
        <v>343</v>
      </c>
      <c r="AA36" s="17" t="s">
        <v>344</v>
      </c>
      <c r="AB36" s="17"/>
      <c r="AC36" s="17" t="s">
        <v>345</v>
      </c>
      <c r="AD36" s="17" t="s">
        <v>125</v>
      </c>
      <c r="AE36" s="17" t="s">
        <v>44</v>
      </c>
      <c r="AF36" s="17" t="s">
        <v>45</v>
      </c>
      <c r="AG36" s="17" t="s">
        <v>46</v>
      </c>
      <c r="AH36" s="17" t="s">
        <v>346</v>
      </c>
      <c r="AI36" s="17" t="s">
        <v>347</v>
      </c>
      <c r="AJ36" s="19">
        <v>5</v>
      </c>
      <c r="AK36" s="19">
        <v>20</v>
      </c>
      <c r="AL36" s="19">
        <v>0</v>
      </c>
      <c r="AM36" s="20">
        <v>238.1199995703</v>
      </c>
      <c r="AN36" s="20">
        <v>924.77</v>
      </c>
      <c r="AO36" s="20">
        <v>1190.5999978514999</v>
      </c>
      <c r="AP36" s="20">
        <v>4623.8500000000004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4438.8999999999996</v>
      </c>
      <c r="BE36" s="20">
        <v>0</v>
      </c>
      <c r="BF36" s="20">
        <v>0</v>
      </c>
      <c r="BG36" s="20">
        <v>4438.8999999999996</v>
      </c>
      <c r="BH36" s="20">
        <v>0</v>
      </c>
      <c r="BI36" s="20">
        <v>0</v>
      </c>
      <c r="BJ36" s="20">
        <v>0</v>
      </c>
      <c r="BK36" s="20">
        <v>0</v>
      </c>
      <c r="BL36" s="17" t="s">
        <v>49</v>
      </c>
      <c r="BM36" s="17"/>
      <c r="BN36" s="17" t="s">
        <v>166</v>
      </c>
      <c r="BO36" s="17" t="s">
        <v>51</v>
      </c>
      <c r="BP36" s="17" t="s">
        <v>351</v>
      </c>
      <c r="BQ36" s="18">
        <v>46188</v>
      </c>
    </row>
    <row r="37" spans="1:69" x14ac:dyDescent="0.25">
      <c r="A37" s="11" t="str">
        <f>LEFT([1]!MOVIMENTACOES[[#This Row],[Código]],9)</f>
        <v>026005059</v>
      </c>
      <c r="B37" s="11" t="s">
        <v>149</v>
      </c>
      <c r="C37" s="11" t="str">
        <f>TRIM(IFERROR(LEFT([1]!MOVIMENTACOES[[#This Row],[Descrição]],SEARCH([1]!MOVIMENTACOES[[#This Row],[EMBALAGEM]],[1]!MOVIMENTACOES[[#This Row],[Descrição]],1)-1),[1]!MOVIMENTACOES[[#This Row],[Descrição]]))</f>
        <v>SYNSCRUB 164BLS</v>
      </c>
      <c r="D37" s="11" t="str">
        <f>_xlfn.CONCAT([1]!MOVIMENTACOES[[#This Row],[FABRICANTE]],[1]!MOVIMENTACOES[[#This Row],[DESCRIÇÃO SEM EMBALAGEM]],[1]!MOVIMENTACOES[[#This Row],[Coluna1]])</f>
        <v>MICRO POWDERSSYNSCRUB 164BLS1</v>
      </c>
      <c r="E37" s="21">
        <f>_xlfn.XLOOKUP([1]!MOVIMENTACOES[[#This Row],[CONCAT]],'[2]PRICE LIST'!$G:$G,'[2]PRICE LIST'!$Q:$Q,"VERIFICAR",0,1)</f>
        <v>81.370927000000023</v>
      </c>
      <c r="F37" s="13">
        <f>_xlfn.XLOOKUP([1]!MOVIMENTACOES[[#This Row],[Data]],[1]PTAX!A:A,[1]PTAX!C:C,"VERIFICAR",0,1)*[1]!MOVIMENTACOES[[#This Row],[PREÇO DE LISTA DOLAR]]</f>
        <v>438.37773211980016</v>
      </c>
      <c r="G37" s="14">
        <f>[1]!MOVIMENTACOES[[#This Row],[PREÇO NET]]-[1]!MOVIMENTACOES[[#This Row],[PREÇO DE LISTA REAL]]</f>
        <v>-118.27773211980019</v>
      </c>
      <c r="H37" s="15">
        <f>-[1]!MOVIMENTACOES[[#This Row],[DESCONTO CONCEDIDO]]/[1]!MOVIMENTACOES[[#This Row],[PREÇO DE LISTA REAL]]</f>
        <v>0.26980780147719086</v>
      </c>
      <c r="I3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320.09999999999997</v>
      </c>
      <c r="J37" s="15">
        <f>VLOOKUP([1]!MOVIMENTACOES[[#This Row],[DESC %]],[1]!DESC[#Data],2,TRUE)</f>
        <v>2.5000000000000001E-3</v>
      </c>
      <c r="K37" s="15">
        <f>_xlfn.XLOOKUP([1]!MOVIMENTACOES[[#This Row],[NF-e]],'[1]PEDIDOS E COMISSOES'!A:A,'[1]PEDIDOS E COMISSOES'!E:E,"VERIFICAR",0,1)</f>
        <v>1E-3</v>
      </c>
      <c r="L37" s="15">
        <f>IF([1]!MOVIMENTACOES[[#This Row],[PERCENTUAL DE COMISSÕES]]+[1]!MOVIMENTACOES[[#This Row],[AJUSTE COMISSÃO]]&lt;0.06%,0.05%,[1]!MOVIMENTACOES[[#This Row],[PERCENTUAL DE COMISSÕES]]+[1]!MOVIMENTACOES[[#This Row],[AJUSTE COMISSÃO]])</f>
        <v>3.5000000000000001E-3</v>
      </c>
      <c r="M37" s="16">
        <f>[1]!MOVIMENTACOES[[#This Row],[COMISSÃO FINAL]]*([1]!MOVIMENTACOES[[#This Row],[PREÇO NET]]*[1]!MOVIMENTACOES[[#This Row],[Qtde]])</f>
        <v>1.12035</v>
      </c>
      <c r="N37" s="14" t="str">
        <f>_xlfn.XLOOKUP(LEFT([1]!MOVIMENTACOES[[#This Row],[Código]],3),'[1]BASE DE FABRICANTES'!A:A,'[1]BASE DE FABRICANTES'!B:B,"VERIFICAR",0,1)</f>
        <v>MICRO POWDERS</v>
      </c>
      <c r="O37" s="14">
        <f>[1]!MOVIMENTACOES[[#This Row],[PREÇO NET]]*[1]!MOVIMENTACOES[[#This Row],[Qtde]]</f>
        <v>320.09999999999997</v>
      </c>
      <c r="P37" s="3" t="s">
        <v>352</v>
      </c>
      <c r="Q37" s="3" t="s">
        <v>353</v>
      </c>
      <c r="R37" s="3" t="s">
        <v>49</v>
      </c>
      <c r="S37" s="3" t="s">
        <v>354</v>
      </c>
      <c r="T37" s="6">
        <v>46029</v>
      </c>
      <c r="U37" s="6" t="s">
        <v>355</v>
      </c>
      <c r="V37" s="3" t="s">
        <v>91</v>
      </c>
      <c r="W37" s="3"/>
      <c r="X37" s="3"/>
      <c r="Y37" s="3" t="s">
        <v>356</v>
      </c>
      <c r="Z37" s="3" t="s">
        <v>357</v>
      </c>
      <c r="AA37" s="3" t="s">
        <v>358</v>
      </c>
      <c r="AB37" s="3"/>
      <c r="AC37" s="3" t="s">
        <v>359</v>
      </c>
      <c r="AD37" s="3"/>
      <c r="AE37" s="3" t="s">
        <v>44</v>
      </c>
      <c r="AF37" s="3" t="s">
        <v>45</v>
      </c>
      <c r="AG37" s="3" t="s">
        <v>46</v>
      </c>
      <c r="AH37" s="3" t="s">
        <v>146</v>
      </c>
      <c r="AI37" s="3" t="s">
        <v>360</v>
      </c>
      <c r="AJ37" s="4">
        <v>1</v>
      </c>
      <c r="AK37" s="4">
        <v>0</v>
      </c>
      <c r="AL37" s="4">
        <v>0</v>
      </c>
      <c r="AM37" s="5">
        <v>137.69</v>
      </c>
      <c r="AN37" s="5">
        <v>346.07</v>
      </c>
      <c r="AO37" s="5">
        <v>137.69</v>
      </c>
      <c r="AP37" s="5">
        <v>346.07</v>
      </c>
      <c r="AQ37" s="5">
        <v>346.07</v>
      </c>
      <c r="AR37" s="5">
        <v>13.84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/>
      <c r="AY37" s="5"/>
      <c r="AZ37" s="5"/>
      <c r="BA37" s="5">
        <v>346.07</v>
      </c>
      <c r="BB37" s="5">
        <v>33.74</v>
      </c>
      <c r="BC37" s="5">
        <v>0</v>
      </c>
      <c r="BD37" s="5">
        <v>332.23</v>
      </c>
      <c r="BE37" s="5">
        <v>2.16</v>
      </c>
      <c r="BF37" s="5">
        <v>0</v>
      </c>
      <c r="BG37" s="5">
        <v>332.23</v>
      </c>
      <c r="BH37" s="5">
        <v>9.9700000000000006</v>
      </c>
      <c r="BI37" s="5">
        <v>0</v>
      </c>
      <c r="BJ37" s="5">
        <v>0</v>
      </c>
      <c r="BK37" s="5">
        <v>0</v>
      </c>
      <c r="BL37" s="3" t="s">
        <v>49</v>
      </c>
      <c r="BM37" s="3"/>
      <c r="BN37" s="3" t="s">
        <v>228</v>
      </c>
      <c r="BO37" s="3" t="s">
        <v>51</v>
      </c>
      <c r="BP37" s="3" t="s">
        <v>361</v>
      </c>
      <c r="BQ37" s="6">
        <v>48275</v>
      </c>
    </row>
    <row r="38" spans="1:69" x14ac:dyDescent="0.25">
      <c r="A38" s="11" t="str">
        <f>LEFT([1]!MOVIMENTACOES[[#This Row],[Código]],9)</f>
        <v>030004007</v>
      </c>
      <c r="B38" s="11" t="s">
        <v>149</v>
      </c>
      <c r="C38" s="11" t="str">
        <f>TRIM(IFERROR(LEFT([1]!MOVIMENTACOES[[#This Row],[Descrição]],SEARCH([1]!MOVIMENTACOES[[#This Row],[EMBALAGEM]],[1]!MOVIMENTACOES[[#This Row],[Descrição]],1)-1),[1]!MOVIMENTACOES[[#This Row],[Descrição]]))</f>
        <v>FERULIC ACID</v>
      </c>
      <c r="D38" s="11" t="str">
        <f>_xlfn.CONCAT([1]!MOVIMENTACOES[[#This Row],[FABRICANTE]],[1]!MOVIMENTACOES[[#This Row],[DESCRIÇÃO SEM EMBALAGEM]],[1]!MOVIMENTACOES[[#This Row],[Coluna1]])</f>
        <v>SPEC CHEMFERULIC ACID1</v>
      </c>
      <c r="E38" s="12">
        <f>_xlfn.XLOOKUP([1]!MOVIMENTACOES[[#This Row],[CONCAT]],'[2]PRICE LIST'!$G:$G,'[2]PRICE LIST'!$Q:$Q,"VERIFICAR",0,1)</f>
        <v>373.75</v>
      </c>
      <c r="F38" s="13">
        <f>_xlfn.XLOOKUP([1]!MOVIMENTACOES[[#This Row],[Data]],[1]PTAX!A:A,[1]PTAX!C:C,"VERIFICAR",0,1)*[1]!MOVIMENTACOES[[#This Row],[PREÇO DE LISTA DOLAR]]</f>
        <v>2013.5407500000001</v>
      </c>
      <c r="G38" s="14">
        <f>[1]!MOVIMENTACOES[[#This Row],[PREÇO NET]]-[1]!MOVIMENTACOES[[#This Row],[PREÇO DE LISTA REAL]]</f>
        <v>-711.28575000000023</v>
      </c>
      <c r="H38" s="15">
        <f>-[1]!MOVIMENTACOES[[#This Row],[DESCONTO CONCEDIDO]]/[1]!MOVIMENTACOES[[#This Row],[PREÇO DE LISTA REAL]]</f>
        <v>0.35325123169223183</v>
      </c>
      <c r="I3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1302.2549999999999</v>
      </c>
      <c r="J38" s="15">
        <f>VLOOKUP([1]!MOVIMENTACOES[[#This Row],[DESC %]],[1]!DESC[#Data],2,TRUE)</f>
        <v>2.5000000000000001E-3</v>
      </c>
      <c r="K38" s="15">
        <f>_xlfn.XLOOKUP([1]!MOVIMENTACOES[[#This Row],[NF-e]],'[1]PEDIDOS E COMISSOES'!A:A,'[1]PEDIDOS E COMISSOES'!E:E,"VERIFICAR",0,1)</f>
        <v>0</v>
      </c>
      <c r="L38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38" s="16">
        <f>[1]!MOVIMENTACOES[[#This Row],[COMISSÃO FINAL]]*([1]!MOVIMENTACOES[[#This Row],[PREÇO NET]]*[1]!MOVIMENTACOES[[#This Row],[Qtde]])</f>
        <v>19.533824999999997</v>
      </c>
      <c r="N38" s="14" t="str">
        <f>_xlfn.XLOOKUP(LEFT([1]!MOVIMENTACOES[[#This Row],[Código]],3),'[1]BASE DE FABRICANTES'!A:A,'[1]BASE DE FABRICANTES'!B:B,"VERIFICAR",0,1)</f>
        <v>SPEC CHEM</v>
      </c>
      <c r="O38" s="14">
        <f>[1]!MOVIMENTACOES[[#This Row],[PREÇO NET]]*[1]!MOVIMENTACOES[[#This Row],[Qtde]]</f>
        <v>7813.5299999999988</v>
      </c>
      <c r="P38" s="17" t="s">
        <v>362</v>
      </c>
      <c r="Q38" s="17" t="s">
        <v>363</v>
      </c>
      <c r="R38" s="17" t="s">
        <v>49</v>
      </c>
      <c r="S38" s="17" t="s">
        <v>364</v>
      </c>
      <c r="T38" s="18">
        <v>46029</v>
      </c>
      <c r="U38" s="18" t="s">
        <v>365</v>
      </c>
      <c r="V38" s="17" t="s">
        <v>91</v>
      </c>
      <c r="W38" s="17"/>
      <c r="X38" s="17"/>
      <c r="Y38" s="17" t="s">
        <v>366</v>
      </c>
      <c r="Z38" s="17" t="s">
        <v>367</v>
      </c>
      <c r="AA38" s="17" t="s">
        <v>368</v>
      </c>
      <c r="AB38" s="17"/>
      <c r="AC38" s="17" t="s">
        <v>192</v>
      </c>
      <c r="AD38" s="17" t="s">
        <v>165</v>
      </c>
      <c r="AE38" s="17" t="s">
        <v>44</v>
      </c>
      <c r="AF38" s="17" t="s">
        <v>45</v>
      </c>
      <c r="AG38" s="17" t="s">
        <v>46</v>
      </c>
      <c r="AH38" s="17" t="s">
        <v>146</v>
      </c>
      <c r="AI38" s="17" t="s">
        <v>110</v>
      </c>
      <c r="AJ38" s="19">
        <v>6</v>
      </c>
      <c r="AK38" s="19">
        <v>24</v>
      </c>
      <c r="AL38" s="19">
        <v>0</v>
      </c>
      <c r="AM38" s="20">
        <v>568.30052723710003</v>
      </c>
      <c r="AN38" s="20">
        <v>1453.32</v>
      </c>
      <c r="AO38" s="20">
        <v>3409.8031634225999</v>
      </c>
      <c r="AP38" s="20">
        <v>8719.92</v>
      </c>
      <c r="AQ38" s="20">
        <v>8719.92</v>
      </c>
      <c r="AR38" s="20">
        <v>610.39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/>
      <c r="AY38" s="20"/>
      <c r="AZ38" s="20"/>
      <c r="BA38" s="20">
        <v>0</v>
      </c>
      <c r="BB38" s="20">
        <v>0</v>
      </c>
      <c r="BC38" s="20">
        <v>0</v>
      </c>
      <c r="BD38" s="20">
        <v>8109.53</v>
      </c>
      <c r="BE38" s="20">
        <v>52.71</v>
      </c>
      <c r="BF38" s="20">
        <v>0</v>
      </c>
      <c r="BG38" s="20">
        <v>8109.53</v>
      </c>
      <c r="BH38" s="20">
        <v>243.29</v>
      </c>
      <c r="BI38" s="20">
        <v>0</v>
      </c>
      <c r="BJ38" s="20">
        <v>0</v>
      </c>
      <c r="BK38" s="20">
        <v>0</v>
      </c>
      <c r="BL38" s="17" t="s">
        <v>49</v>
      </c>
      <c r="BM38" s="17"/>
      <c r="BN38" s="17" t="s">
        <v>55</v>
      </c>
      <c r="BO38" s="17" t="s">
        <v>51</v>
      </c>
      <c r="BP38" s="17" t="s">
        <v>369</v>
      </c>
      <c r="BQ38" s="18">
        <v>46564</v>
      </c>
    </row>
    <row r="39" spans="1:69" x14ac:dyDescent="0.25">
      <c r="A39" s="11" t="str">
        <f>LEFT([1]!MOVIMENTACOES[[#This Row],[Código]],9)</f>
        <v>072004003</v>
      </c>
      <c r="B39" s="11" t="s">
        <v>204</v>
      </c>
      <c r="C39" s="11" t="str">
        <f>TRIM(IFERROR(LEFT([1]!MOVIMENTACOES[[#This Row],[Descrição]],SEARCH([1]!MOVIMENTACOES[[#This Row],[EMBALAGEM]],[1]!MOVIMENTACOES[[#This Row],[Descrição]],1)-1),[1]!MOVIMENTACOES[[#This Row],[Descrição]]))</f>
        <v>GLUCONOLACTONE</v>
      </c>
      <c r="D39" s="11" t="str">
        <f>_xlfn.CONCAT([1]!MOVIMENTACOES[[#This Row],[FABRICANTE]],[1]!MOVIMENTACOES[[#This Row],[DESCRIÇÃO SEM EMBALAGEM]],[1]!MOVIMENTACOES[[#This Row],[Coluna1]])</f>
        <v>HAIHANGGLUCONOLACTONE25</v>
      </c>
      <c r="E39" s="12">
        <f>_xlfn.XLOOKUP([1]!MOVIMENTACOES[[#This Row],[CONCAT]],'[2]PRICE LIST'!$G:$G,'[2]PRICE LIST'!$Q:$Q,"VERIFICAR",0,1)</f>
        <v>13.725</v>
      </c>
      <c r="F39" s="13">
        <f>_xlfn.XLOOKUP([1]!MOVIMENTACOES[[#This Row],[Data]],[1]PTAX!A:A,[1]PTAX!C:C,"VERIFICAR",0,1)*[1]!MOVIMENTACOES[[#This Row],[PREÇO DE LISTA DOLAR]]</f>
        <v>73.942064999999999</v>
      </c>
      <c r="G39" s="14">
        <f>[1]!MOVIMENTACOES[[#This Row],[PREÇO NET]]-[1]!MOVIMENTACOES[[#This Row],[PREÇO DE LISTA REAL]]</f>
        <v>0.77493499999999926</v>
      </c>
      <c r="H39" s="15">
        <f>-[1]!MOVIMENTACOES[[#This Row],[DESCONTO CONCEDIDO]]/[1]!MOVIMENTACOES[[#This Row],[PREÇO DE LISTA REAL]]</f>
        <v>-1.0480299677862652E-2</v>
      </c>
      <c r="I3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74.716999999999999</v>
      </c>
      <c r="J39" s="15">
        <f>VLOOKUP([1]!MOVIMENTACOES[[#This Row],[DESC %]],[1]!DESC[#Data],2,TRUE)</f>
        <v>0.01</v>
      </c>
      <c r="K39" s="15">
        <f>_xlfn.XLOOKUP([1]!MOVIMENTACOES[[#This Row],[NF-e]],'[1]PEDIDOS E COMISSOES'!A:A,'[1]PEDIDOS E COMISSOES'!E:E,"VERIFICAR",0,1)</f>
        <v>-4.5000000000000005E-3</v>
      </c>
      <c r="L39" s="15">
        <f>IF([1]!MOVIMENTACOES[[#This Row],[PERCENTUAL DE COMISSÕES]]+[1]!MOVIMENTACOES[[#This Row],[AJUSTE COMISSÃO]]&lt;0.06%,0.05%,[1]!MOVIMENTACOES[[#This Row],[PERCENTUAL DE COMISSÕES]]+[1]!MOVIMENTACOES[[#This Row],[AJUSTE COMISSÃO]])</f>
        <v>5.4999999999999997E-3</v>
      </c>
      <c r="M39" s="16">
        <f>[1]!MOVIMENTACOES[[#This Row],[COMISSÃO FINAL]]*([1]!MOVIMENTACOES[[#This Row],[PREÇO NET]]*[1]!MOVIMENTACOES[[#This Row],[Qtde]])</f>
        <v>20.547174999999999</v>
      </c>
      <c r="N39" s="14" t="str">
        <f>_xlfn.XLOOKUP(LEFT([1]!MOVIMENTACOES[[#This Row],[Código]],3),'[1]BASE DE FABRICANTES'!A:A,'[1]BASE DE FABRICANTES'!B:B,"VERIFICAR",0,1)</f>
        <v>HAIHANG</v>
      </c>
      <c r="O39" s="14">
        <f>[1]!MOVIMENTACOES[[#This Row],[PREÇO NET]]*[1]!MOVIMENTACOES[[#This Row],[Qtde]]</f>
        <v>3735.85</v>
      </c>
      <c r="P39" s="3" t="s">
        <v>370</v>
      </c>
      <c r="Q39" s="3" t="s">
        <v>371</v>
      </c>
      <c r="R39" s="3" t="s">
        <v>49</v>
      </c>
      <c r="S39" s="3" t="s">
        <v>332</v>
      </c>
      <c r="T39" s="6">
        <v>46029</v>
      </c>
      <c r="U39" s="6" t="s">
        <v>372</v>
      </c>
      <c r="V39" s="3" t="s">
        <v>91</v>
      </c>
      <c r="W39" s="3"/>
      <c r="X39" s="3"/>
      <c r="Y39" s="3" t="s">
        <v>373</v>
      </c>
      <c r="Z39" s="3" t="s">
        <v>374</v>
      </c>
      <c r="AA39" s="3" t="s">
        <v>375</v>
      </c>
      <c r="AB39" s="3"/>
      <c r="AC39" s="3" t="s">
        <v>321</v>
      </c>
      <c r="AD39" s="3" t="s">
        <v>338</v>
      </c>
      <c r="AE39" s="3" t="s">
        <v>44</v>
      </c>
      <c r="AF39" s="3" t="s">
        <v>45</v>
      </c>
      <c r="AG39" s="3" t="s">
        <v>46</v>
      </c>
      <c r="AH39" s="3" t="s">
        <v>47</v>
      </c>
      <c r="AI39" s="3" t="s">
        <v>48</v>
      </c>
      <c r="AJ39" s="4">
        <v>50</v>
      </c>
      <c r="AK39" s="4">
        <v>0</v>
      </c>
      <c r="AL39" s="4">
        <v>0</v>
      </c>
      <c r="AM39" s="5">
        <v>22.419683210999999</v>
      </c>
      <c r="AN39" s="5">
        <v>94.57</v>
      </c>
      <c r="AO39" s="5">
        <v>1120.9841605500001</v>
      </c>
      <c r="AP39" s="5">
        <v>4728.5</v>
      </c>
      <c r="AQ39" s="5">
        <v>4728.5</v>
      </c>
      <c r="AR39" s="5">
        <v>851.13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/>
      <c r="AY39" s="5"/>
      <c r="AZ39" s="5"/>
      <c r="BA39" s="5">
        <v>0</v>
      </c>
      <c r="BB39" s="5">
        <v>0</v>
      </c>
      <c r="BC39" s="5">
        <v>0</v>
      </c>
      <c r="BD39" s="5">
        <v>3877.37</v>
      </c>
      <c r="BE39" s="5">
        <v>25.2</v>
      </c>
      <c r="BF39" s="5">
        <v>0</v>
      </c>
      <c r="BG39" s="5">
        <v>3877.37</v>
      </c>
      <c r="BH39" s="5">
        <v>116.32</v>
      </c>
      <c r="BI39" s="5">
        <v>0</v>
      </c>
      <c r="BJ39" s="5">
        <v>0</v>
      </c>
      <c r="BK39" s="5">
        <v>0</v>
      </c>
      <c r="BL39" s="3" t="s">
        <v>49</v>
      </c>
      <c r="BM39" s="3"/>
      <c r="BN39" s="3" t="s">
        <v>55</v>
      </c>
      <c r="BO39" s="3" t="s">
        <v>51</v>
      </c>
      <c r="BP39" s="3" t="s">
        <v>340</v>
      </c>
      <c r="BQ39" s="6">
        <v>46617</v>
      </c>
    </row>
    <row r="40" spans="1:69" x14ac:dyDescent="0.25">
      <c r="A40" s="11" t="str">
        <f>LEFT([1]!MOVIMENTACOES[[#This Row],[Código]],9)</f>
        <v>072004003</v>
      </c>
      <c r="B40" s="11" t="s">
        <v>99</v>
      </c>
      <c r="C40" s="11" t="str">
        <f>TRIM(IFERROR(LEFT([1]!MOVIMENTACOES[[#This Row],[Descrição]],SEARCH([1]!MOVIMENTACOES[[#This Row],[EMBALAGEM]],[1]!MOVIMENTACOES[[#This Row],[Descrição]],1)-1),[1]!MOVIMENTACOES[[#This Row],[Descrição]]))</f>
        <v>GLUCONOLACTONE</v>
      </c>
      <c r="D40" s="11" t="str">
        <f>_xlfn.CONCAT([1]!MOVIMENTACOES[[#This Row],[FABRICANTE]],[1]!MOVIMENTACOES[[#This Row],[DESCRIÇÃO SEM EMBALAGEM]],[1]!MOVIMENTACOES[[#This Row],[Coluna1]])</f>
        <v>HAIHANGGLUCONOLACTONE5</v>
      </c>
      <c r="E40" s="12">
        <f>_xlfn.XLOOKUP([1]!MOVIMENTACOES[[#This Row],[CONCAT]],'[2]PRICE LIST'!$G:$G,'[2]PRICE LIST'!$Q:$Q,"VERIFICAR",0,1)</f>
        <v>17.842500000000001</v>
      </c>
      <c r="F40" s="13">
        <f>_xlfn.XLOOKUP([1]!MOVIMENTACOES[[#This Row],[Data]],[1]PTAX!A:A,[1]PTAX!C:C,"VERIFICAR",0,1)*[1]!MOVIMENTACOES[[#This Row],[PREÇO DE LISTA DOLAR]]</f>
        <v>96.124684500000015</v>
      </c>
      <c r="G40" s="14">
        <f>[1]!MOVIMENTACOES[[#This Row],[PREÇO NET]]-[1]!MOVIMENTACOES[[#This Row],[PREÇO DE LISTA REAL]]</f>
        <v>-21.407884500000009</v>
      </c>
      <c r="H40" s="15">
        <f>-[1]!MOVIMENTACOES[[#This Row],[DESCONTO CONCEDIDO]]/[1]!MOVIMENTACOES[[#This Row],[PREÇO DE LISTA REAL]]</f>
        <v>0.22270954241727581</v>
      </c>
      <c r="I4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74.716800000000006</v>
      </c>
      <c r="J40" s="15">
        <f>VLOOKUP([1]!MOVIMENTACOES[[#This Row],[DESC %]],[1]!DESC[#Data],2,TRUE)</f>
        <v>2.5000000000000001E-3</v>
      </c>
      <c r="K40" s="15">
        <f>_xlfn.XLOOKUP([1]!MOVIMENTACOES[[#This Row],[NF-e]],'[1]PEDIDOS E COMISSOES'!A:A,'[1]PEDIDOS E COMISSOES'!E:E,"VERIFICAR",0,1)</f>
        <v>-4.5000000000000005E-3</v>
      </c>
      <c r="L40" s="15">
        <f>IF([1]!MOVIMENTACOES[[#This Row],[PERCENTUAL DE COMISSÕES]]+[1]!MOVIMENTACOES[[#This Row],[AJUSTE COMISSÃO]]&lt;0.06%,0.05%,[1]!MOVIMENTACOES[[#This Row],[PERCENTUAL DE COMISSÕES]]+[1]!MOVIMENTACOES[[#This Row],[AJUSTE COMISSÃO]])</f>
        <v>5.0000000000000001E-4</v>
      </c>
      <c r="M40" s="16">
        <f>[1]!MOVIMENTACOES[[#This Row],[COMISSÃO FINAL]]*([1]!MOVIMENTACOES[[#This Row],[PREÇO NET]]*[1]!MOVIMENTACOES[[#This Row],[Qtde]])</f>
        <v>0.93396000000000001</v>
      </c>
      <c r="N40" s="14" t="str">
        <f>_xlfn.XLOOKUP(LEFT([1]!MOVIMENTACOES[[#This Row],[Código]],3),'[1]BASE DE FABRICANTES'!A:A,'[1]BASE DE FABRICANTES'!B:B,"VERIFICAR",0,1)</f>
        <v>HAIHANG</v>
      </c>
      <c r="O40" s="14">
        <f>[1]!MOVIMENTACOES[[#This Row],[PREÇO NET]]*[1]!MOVIMENTACOES[[#This Row],[Qtde]]</f>
        <v>1867.92</v>
      </c>
      <c r="P40" s="17" t="s">
        <v>330</v>
      </c>
      <c r="Q40" s="17" t="s">
        <v>331</v>
      </c>
      <c r="R40" s="17" t="s">
        <v>49</v>
      </c>
      <c r="S40" s="17" t="s">
        <v>332</v>
      </c>
      <c r="T40" s="18">
        <v>46029</v>
      </c>
      <c r="U40" s="18" t="s">
        <v>372</v>
      </c>
      <c r="V40" s="17" t="s">
        <v>91</v>
      </c>
      <c r="W40" s="17"/>
      <c r="X40" s="17"/>
      <c r="Y40" s="17" t="s">
        <v>373</v>
      </c>
      <c r="Z40" s="17" t="s">
        <v>374</v>
      </c>
      <c r="AA40" s="17" t="s">
        <v>375</v>
      </c>
      <c r="AB40" s="17"/>
      <c r="AC40" s="17" t="s">
        <v>321</v>
      </c>
      <c r="AD40" s="17" t="s">
        <v>338</v>
      </c>
      <c r="AE40" s="17" t="s">
        <v>44</v>
      </c>
      <c r="AF40" s="17" t="s">
        <v>45</v>
      </c>
      <c r="AG40" s="17" t="s">
        <v>46</v>
      </c>
      <c r="AH40" s="17" t="s">
        <v>47</v>
      </c>
      <c r="AI40" s="17" t="s">
        <v>48</v>
      </c>
      <c r="AJ40" s="19">
        <v>25</v>
      </c>
      <c r="AK40" s="19">
        <v>30</v>
      </c>
      <c r="AL40" s="19">
        <v>0</v>
      </c>
      <c r="AM40" s="20">
        <v>22.419833333300001</v>
      </c>
      <c r="AN40" s="20">
        <v>94.57</v>
      </c>
      <c r="AO40" s="20">
        <v>560.49583333249996</v>
      </c>
      <c r="AP40" s="20">
        <v>2364.25</v>
      </c>
      <c r="AQ40" s="20">
        <v>2364.25</v>
      </c>
      <c r="AR40" s="20">
        <v>425.57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/>
      <c r="AY40" s="20"/>
      <c r="AZ40" s="20"/>
      <c r="BA40" s="20">
        <v>0</v>
      </c>
      <c r="BB40" s="20">
        <v>0</v>
      </c>
      <c r="BC40" s="20">
        <v>0</v>
      </c>
      <c r="BD40" s="20">
        <v>1938.68</v>
      </c>
      <c r="BE40" s="20">
        <v>12.6</v>
      </c>
      <c r="BF40" s="20">
        <v>0</v>
      </c>
      <c r="BG40" s="20">
        <v>1938.68</v>
      </c>
      <c r="BH40" s="20">
        <v>58.16</v>
      </c>
      <c r="BI40" s="20">
        <v>0</v>
      </c>
      <c r="BJ40" s="20">
        <v>0</v>
      </c>
      <c r="BK40" s="20">
        <v>0</v>
      </c>
      <c r="BL40" s="17" t="s">
        <v>49</v>
      </c>
      <c r="BM40" s="17"/>
      <c r="BN40" s="17" t="s">
        <v>55</v>
      </c>
      <c r="BO40" s="17" t="s">
        <v>51</v>
      </c>
      <c r="BP40" s="17" t="s">
        <v>340</v>
      </c>
      <c r="BQ40" s="18">
        <v>46617</v>
      </c>
    </row>
    <row r="41" spans="1:69" x14ac:dyDescent="0.25">
      <c r="A41" s="11" t="str">
        <f>LEFT([1]!MOVIMENTACOES[[#This Row],[Código]],9)</f>
        <v>072004003</v>
      </c>
      <c r="B41" s="11" t="s">
        <v>149</v>
      </c>
      <c r="C41" s="11" t="str">
        <f>TRIM(IFERROR(LEFT([1]!MOVIMENTACOES[[#This Row],[Descrição]],SEARCH([1]!MOVIMENTACOES[[#This Row],[EMBALAGEM]],[1]!MOVIMENTACOES[[#This Row],[Descrição]],1)-1),[1]!MOVIMENTACOES[[#This Row],[Descrição]]))</f>
        <v>GLUCONOLACTONE</v>
      </c>
      <c r="D41" s="11" t="str">
        <f>_xlfn.CONCAT([1]!MOVIMENTACOES[[#This Row],[FABRICANTE]],[1]!MOVIMENTACOES[[#This Row],[DESCRIÇÃO SEM EMBALAGEM]],[1]!MOVIMENTACOES[[#This Row],[Coluna1]])</f>
        <v>HAIHANGGLUCONOLACTONE1</v>
      </c>
      <c r="E41" s="12">
        <f>_xlfn.XLOOKUP([1]!MOVIMENTACOES[[#This Row],[CONCAT]],'[2]PRICE LIST'!$G:$G,'[2]PRICE LIST'!$Q:$Q,"VERIFICAR",0,1)</f>
        <v>23.195250000000001</v>
      </c>
      <c r="F41" s="13">
        <f>_xlfn.XLOOKUP([1]!MOVIMENTACOES[[#This Row],[Data]],[1]PTAX!A:A,[1]PTAX!C:C,"VERIFICAR",0,1)*[1]!MOVIMENTACOES[[#This Row],[PREÇO DE LISTA DOLAR]]</f>
        <v>124.96208985000001</v>
      </c>
      <c r="G41" s="14">
        <f>[1]!MOVIMENTACOES[[#This Row],[PREÇO NET]]-[1]!MOVIMENTACOES[[#This Row],[PREÇO DE LISTA REAL]]</f>
        <v>-60.694089850000012</v>
      </c>
      <c r="H41" s="15">
        <f>-[1]!MOVIMENTACOES[[#This Row],[DESCONTO CONCEDIDO]]/[1]!MOVIMENTACOES[[#This Row],[PREÇO DE LISTA REAL]]</f>
        <v>0.48570002248565952</v>
      </c>
      <c r="I4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64.268000000000001</v>
      </c>
      <c r="J41" s="15">
        <f>VLOOKUP([1]!MOVIMENTACOES[[#This Row],[DESC %]],[1]!DESC[#Data],2,TRUE)</f>
        <v>2.5000000000000001E-3</v>
      </c>
      <c r="K41" s="15">
        <f>_xlfn.XLOOKUP([1]!MOVIMENTACOES[[#This Row],[NF-e]],'[1]PEDIDOS E COMISSOES'!A:A,'[1]PEDIDOS E COMISSOES'!E:E,"VERIFICAR",0,1)</f>
        <v>0</v>
      </c>
      <c r="L41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41" s="16">
        <f>[1]!MOVIMENTACOES[[#This Row],[COMISSÃO FINAL]]*([1]!MOVIMENTACOES[[#This Row],[PREÇO NET]]*[1]!MOVIMENTACOES[[#This Row],[Qtde]])</f>
        <v>0.80335000000000012</v>
      </c>
      <c r="N41" s="14" t="str">
        <f>_xlfn.XLOOKUP(LEFT([1]!MOVIMENTACOES[[#This Row],[Código]],3),'[1]BASE DE FABRICANTES'!A:A,'[1]BASE DE FABRICANTES'!B:B,"VERIFICAR",0,1)</f>
        <v>HAIHANG</v>
      </c>
      <c r="O41" s="14">
        <f>[1]!MOVIMENTACOES[[#This Row],[PREÇO NET]]*[1]!MOVIMENTACOES[[#This Row],[Qtde]]</f>
        <v>321.34000000000003</v>
      </c>
      <c r="P41" s="3" t="s">
        <v>330</v>
      </c>
      <c r="Q41" s="3" t="s">
        <v>376</v>
      </c>
      <c r="R41" s="3" t="s">
        <v>49</v>
      </c>
      <c r="S41" s="3" t="s">
        <v>332</v>
      </c>
      <c r="T41" s="6">
        <v>46029</v>
      </c>
      <c r="U41" s="6" t="s">
        <v>333</v>
      </c>
      <c r="V41" s="3" t="s">
        <v>91</v>
      </c>
      <c r="W41" s="3"/>
      <c r="X41" s="3"/>
      <c r="Y41" s="3" t="s">
        <v>334</v>
      </c>
      <c r="Z41" s="3" t="s">
        <v>335</v>
      </c>
      <c r="AA41" s="3" t="s">
        <v>336</v>
      </c>
      <c r="AB41" s="3"/>
      <c r="AC41" s="3" t="s">
        <v>337</v>
      </c>
      <c r="AD41" s="3" t="s">
        <v>338</v>
      </c>
      <c r="AE41" s="3" t="s">
        <v>44</v>
      </c>
      <c r="AF41" s="3" t="s">
        <v>45</v>
      </c>
      <c r="AG41" s="3" t="s">
        <v>46</v>
      </c>
      <c r="AH41" s="3" t="s">
        <v>339</v>
      </c>
      <c r="AI41" s="3" t="s">
        <v>110</v>
      </c>
      <c r="AJ41" s="4">
        <v>5</v>
      </c>
      <c r="AK41" s="4">
        <v>31</v>
      </c>
      <c r="AL41" s="4">
        <v>0</v>
      </c>
      <c r="AM41" s="5">
        <v>22.419750000000001</v>
      </c>
      <c r="AN41" s="5">
        <v>75.8</v>
      </c>
      <c r="AO41" s="5">
        <v>112.09875</v>
      </c>
      <c r="AP41" s="5">
        <v>379</v>
      </c>
      <c r="AQ41" s="5">
        <v>379</v>
      </c>
      <c r="AR41" s="5">
        <v>45.48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/>
      <c r="AY41" s="5"/>
      <c r="AZ41" s="5"/>
      <c r="BA41" s="5">
        <v>0</v>
      </c>
      <c r="BB41" s="5">
        <v>0</v>
      </c>
      <c r="BC41" s="5">
        <v>0</v>
      </c>
      <c r="BD41" s="5">
        <v>333.52</v>
      </c>
      <c r="BE41" s="5">
        <v>2.17</v>
      </c>
      <c r="BF41" s="5">
        <v>0</v>
      </c>
      <c r="BG41" s="5">
        <v>333.52</v>
      </c>
      <c r="BH41" s="5">
        <v>10.01</v>
      </c>
      <c r="BI41" s="5">
        <v>0</v>
      </c>
      <c r="BJ41" s="5">
        <v>0</v>
      </c>
      <c r="BK41" s="5">
        <v>0</v>
      </c>
      <c r="BL41" s="3" t="s">
        <v>49</v>
      </c>
      <c r="BM41" s="3"/>
      <c r="BN41" s="3" t="s">
        <v>50</v>
      </c>
      <c r="BO41" s="3" t="s">
        <v>51</v>
      </c>
      <c r="BP41" s="3" t="s">
        <v>340</v>
      </c>
      <c r="BQ41" s="6">
        <v>46617</v>
      </c>
    </row>
    <row r="42" spans="1:69" x14ac:dyDescent="0.25">
      <c r="A42" s="11" t="str">
        <f>LEFT([1]!MOVIMENTACOES[[#This Row],[Código]],9)</f>
        <v>065003007</v>
      </c>
      <c r="B42" s="11" t="s">
        <v>149</v>
      </c>
      <c r="C42" s="11" t="str">
        <f>TRIM(IFERROR(LEFT([1]!MOVIMENTACOES[[#This Row],[Descrição]],SEARCH([1]!MOVIMENTACOES[[#This Row],[EMBALAGEM]],[1]!MOVIMENTACOES[[#This Row],[Descrição]],1)-1),[1]!MOVIMENTACOES[[#This Row],[Descrição]]))</f>
        <v>SILNOS 350</v>
      </c>
      <c r="D42" s="11" t="str">
        <f>_xlfn.CONCAT([1]!MOVIMENTACOES[[#This Row],[FABRICANTE]],[1]!MOVIMENTACOES[[#This Row],[DESCRIÇÃO SEM EMBALAGEM]],[1]!MOVIMENTACOES[[#This Row],[Coluna1]])</f>
        <v>ABC NANOTECHSILNOS 3501</v>
      </c>
      <c r="E42" s="24" t="str">
        <f>_xlfn.XLOOKUP([1]!MOVIMENTACOES[[#This Row],[CONCAT]],'[2]PRICE LIST'!$G:$G,'[2]PRICE LIST'!$Q:$Q,"VERIFICAR",0,1)</f>
        <v>VERIFICAR</v>
      </c>
      <c r="F42" s="13" t="e">
        <f>_xlfn.XLOOKUP([1]!MOVIMENTACOES[[#This Row],[Data]],[1]PTAX!A:A,[1]PTAX!C:C,"VERIFICAR",0,1)*[1]!MOVIMENTACOES[[#This Row],[PREÇO DE LISTA DOLAR]]</f>
        <v>#VALUE!</v>
      </c>
      <c r="G42" s="14" t="e">
        <f>[1]!MOVIMENTACOES[[#This Row],[PREÇO NET]]-[1]!MOVIMENTACOES[[#This Row],[PREÇO DE LISTA REAL]]</f>
        <v>#VALUE!</v>
      </c>
      <c r="H42" s="15" t="e">
        <f>-[1]!MOVIMENTACOES[[#This Row],[DESCONTO CONCEDIDO]]/[1]!MOVIMENTACOES[[#This Row],[PREÇO DE LISTA REAL]]</f>
        <v>#VALUE!</v>
      </c>
      <c r="I4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2360.77</v>
      </c>
      <c r="J42" s="15" t="e">
        <f>VLOOKUP([1]!MOVIMENTACOES[[#This Row],[DESC %]],[1]!DESC[#Data],2,TRUE)</f>
        <v>#VALUE!</v>
      </c>
      <c r="K42" s="15">
        <f>_xlfn.XLOOKUP([1]!MOVIMENTACOES[[#This Row],[NF-e]],'[1]PEDIDOS E COMISSOES'!A:A,'[1]PEDIDOS E COMISSOES'!E:E,"VERIFICAR",0,1)</f>
        <v>5.0000000000000001E-4</v>
      </c>
      <c r="L42" s="15" t="e">
        <f>IF([1]!MOVIMENTACOES[[#This Row],[PERCENTUAL DE COMISSÕES]]+[1]!MOVIMENTACOES[[#This Row],[AJUSTE COMISSÃO]]&lt;0.06%,0.05%,[1]!MOVIMENTACOES[[#This Row],[PERCENTUAL DE COMISSÕES]]+[1]!MOVIMENTACOES[[#This Row],[AJUSTE COMISSÃO]])</f>
        <v>#VALUE!</v>
      </c>
      <c r="M42" s="16" t="e">
        <f>[1]!MOVIMENTACOES[[#This Row],[COMISSÃO FINAL]]*([1]!MOVIMENTACOES[[#This Row],[PREÇO NET]]*[1]!MOVIMENTACOES[[#This Row],[Qtde]])</f>
        <v>#VALUE!</v>
      </c>
      <c r="N42" s="14" t="str">
        <f>_xlfn.XLOOKUP(LEFT([1]!MOVIMENTACOES[[#This Row],[Código]],3),'[1]BASE DE FABRICANTES'!A:A,'[1]BASE DE FABRICANTES'!B:B,"VERIFICAR",0,1)</f>
        <v>ABC NANOTECH</v>
      </c>
      <c r="O42" s="14">
        <f>[1]!MOVIMENTACOES[[#This Row],[PREÇO NET]]*[1]!MOVIMENTACOES[[#This Row],[Qtde]]</f>
        <v>4721.54</v>
      </c>
      <c r="P42" s="17" t="s">
        <v>377</v>
      </c>
      <c r="Q42" s="17" t="s">
        <v>378</v>
      </c>
      <c r="R42" s="17" t="s">
        <v>49</v>
      </c>
      <c r="S42" s="17" t="s">
        <v>379</v>
      </c>
      <c r="T42" s="18">
        <v>46029</v>
      </c>
      <c r="U42" s="18" t="s">
        <v>380</v>
      </c>
      <c r="V42" s="17" t="s">
        <v>91</v>
      </c>
      <c r="W42" s="17"/>
      <c r="X42" s="17"/>
      <c r="Y42" s="17" t="s">
        <v>381</v>
      </c>
      <c r="Z42" s="17" t="s">
        <v>382</v>
      </c>
      <c r="AA42" s="17" t="s">
        <v>383</v>
      </c>
      <c r="AB42" s="17"/>
      <c r="AC42" s="17" t="s">
        <v>384</v>
      </c>
      <c r="AD42" s="17" t="s">
        <v>385</v>
      </c>
      <c r="AE42" s="17" t="s">
        <v>44</v>
      </c>
      <c r="AF42" s="17" t="s">
        <v>45</v>
      </c>
      <c r="AG42" s="17" t="s">
        <v>46</v>
      </c>
      <c r="AH42" s="17" t="s">
        <v>47</v>
      </c>
      <c r="AI42" s="17" t="s">
        <v>48</v>
      </c>
      <c r="AJ42" s="19">
        <v>2</v>
      </c>
      <c r="AK42" s="19">
        <v>1</v>
      </c>
      <c r="AL42" s="19">
        <v>0</v>
      </c>
      <c r="AM42" s="20">
        <v>392.63916666670002</v>
      </c>
      <c r="AN42" s="20">
        <v>2988.05</v>
      </c>
      <c r="AO42" s="20">
        <v>785.27833333340004</v>
      </c>
      <c r="AP42" s="20">
        <v>5976.1</v>
      </c>
      <c r="AQ42" s="20">
        <v>5976.1</v>
      </c>
      <c r="AR42" s="20">
        <v>1075.7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/>
      <c r="AY42" s="20"/>
      <c r="AZ42" s="20"/>
      <c r="BA42" s="20">
        <v>0</v>
      </c>
      <c r="BB42" s="20">
        <v>0</v>
      </c>
      <c r="BC42" s="20">
        <v>0</v>
      </c>
      <c r="BD42" s="20">
        <v>4900.3999999999996</v>
      </c>
      <c r="BE42" s="20">
        <v>31.85</v>
      </c>
      <c r="BF42" s="20">
        <v>0</v>
      </c>
      <c r="BG42" s="20">
        <v>4900.3999999999996</v>
      </c>
      <c r="BH42" s="20">
        <v>147.01</v>
      </c>
      <c r="BI42" s="20">
        <v>0</v>
      </c>
      <c r="BJ42" s="20">
        <v>0</v>
      </c>
      <c r="BK42" s="20">
        <v>0</v>
      </c>
      <c r="BL42" s="17" t="s">
        <v>49</v>
      </c>
      <c r="BM42" s="17"/>
      <c r="BN42" s="17" t="s">
        <v>55</v>
      </c>
      <c r="BO42" s="17" t="s">
        <v>51</v>
      </c>
      <c r="BP42" s="17" t="s">
        <v>386</v>
      </c>
      <c r="BQ42" s="18">
        <v>46488</v>
      </c>
    </row>
    <row r="43" spans="1:69" x14ac:dyDescent="0.25">
      <c r="A43" s="11" t="str">
        <f>LEFT([1]!MOVIMENTACOES[[#This Row],[Código]],9)</f>
        <v>001004010</v>
      </c>
      <c r="B43" s="11" t="s">
        <v>99</v>
      </c>
      <c r="C43" s="11" t="str">
        <f>TRIM(IFERROR(LEFT([1]!MOVIMENTACOES[[#This Row],[Descrição]],SEARCH([1]!MOVIMENTACOES[[#This Row],[EMBALAGEM]],[1]!MOVIMENTACOES[[#This Row],[Descrição]],1)-1),[1]!MOVIMENTACOES[[#This Row],[Descrição]]))</f>
        <v>NEUROLIGHT 61G</v>
      </c>
      <c r="D43" s="11" t="str">
        <f>_xlfn.CONCAT([1]!MOVIMENTACOES[[#This Row],[FABRICANTE]],[1]!MOVIMENTACOES[[#This Row],[DESCRIÇÃO SEM EMBALAGEM]],[1]!MOVIMENTACOES[[#This Row],[Coluna1]])</f>
        <v>CODIFNEUROLIGHT 61G5</v>
      </c>
      <c r="E43" s="12">
        <f>_xlfn.XLOOKUP([1]!MOVIMENTACOES[[#This Row],[CONCAT]],'[2]PRICE LIST'!$G:$G,'[2]PRICE LIST'!$Q:$Q,"VERIFICAR",0,1)</f>
        <v>256.71456319999999</v>
      </c>
      <c r="F43" s="13">
        <f>_xlfn.XLOOKUP([1]!MOVIMENTACOES[[#This Row],[Data]],[1]PTAX!A:A,[1]PTAX!C:C,"VERIFICAR",0,1)*[1]!MOVIMENTACOES[[#This Row],[PREÇO DE LISTA DOLAR]]</f>
        <v>1383.0240377836801</v>
      </c>
      <c r="G43" s="14">
        <f>[1]!MOVIMENTACOES[[#This Row],[PREÇO NET]]-[1]!MOVIMENTACOES[[#This Row],[PREÇO DE LISTA REAL]]</f>
        <v>235.16596221631971</v>
      </c>
      <c r="H43" s="15">
        <f>-[1]!MOVIMENTACOES[[#This Row],[DESCONTO CONCEDIDO]]/[1]!MOVIMENTACOES[[#This Row],[PREÇO DE LISTA REAL]]</f>
        <v>-0.17003750895984224</v>
      </c>
      <c r="I4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1618.1899999999998</v>
      </c>
      <c r="J43" s="15">
        <f>VLOOKUP([1]!MOVIMENTACOES[[#This Row],[DESC %]],[1]!DESC[#Data],2,TRUE)</f>
        <v>0.01</v>
      </c>
      <c r="K43" s="15">
        <f>_xlfn.XLOOKUP([1]!MOVIMENTACOES[[#This Row],[NF-e]],'[1]PEDIDOS E COMISSOES'!A:A,'[1]PEDIDOS E COMISSOES'!E:E,"VERIFICAR",0,1)</f>
        <v>-5.0000000000000001E-4</v>
      </c>
      <c r="L43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43" s="16">
        <f>[1]!MOVIMENTACOES[[#This Row],[COMISSÃO FINAL]]*([1]!MOVIMENTACOES[[#This Row],[PREÇO NET]]*[1]!MOVIMENTACOES[[#This Row],[Qtde]])</f>
        <v>230.59207499999999</v>
      </c>
      <c r="N43" s="14" t="str">
        <f>_xlfn.XLOOKUP(LEFT([1]!MOVIMENTACOES[[#This Row],[Código]],3),'[1]BASE DE FABRICANTES'!A:A,'[1]BASE DE FABRICANTES'!B:B,"VERIFICAR",0,1)</f>
        <v>CODIF</v>
      </c>
      <c r="O43" s="14">
        <f>[1]!MOVIMENTACOES[[#This Row],[PREÇO NET]]*[1]!MOVIMENTACOES[[#This Row],[Qtde]]</f>
        <v>24272.85</v>
      </c>
      <c r="P43" s="3" t="s">
        <v>387</v>
      </c>
      <c r="Q43" s="3" t="s">
        <v>388</v>
      </c>
      <c r="R43" s="3" t="s">
        <v>49</v>
      </c>
      <c r="S43" s="3" t="s">
        <v>120</v>
      </c>
      <c r="T43" s="6">
        <v>46029</v>
      </c>
      <c r="U43" s="6" t="s">
        <v>389</v>
      </c>
      <c r="V43" s="3" t="s">
        <v>91</v>
      </c>
      <c r="W43" s="3"/>
      <c r="X43" s="3"/>
      <c r="Y43" s="3" t="s">
        <v>390</v>
      </c>
      <c r="Z43" s="3" t="s">
        <v>391</v>
      </c>
      <c r="AA43" s="3" t="s">
        <v>392</v>
      </c>
      <c r="AB43" s="3"/>
      <c r="AC43" s="3" t="s">
        <v>384</v>
      </c>
      <c r="AD43" s="3" t="s">
        <v>125</v>
      </c>
      <c r="AE43" s="3" t="s">
        <v>44</v>
      </c>
      <c r="AF43" s="3" t="s">
        <v>45</v>
      </c>
      <c r="AG43" s="3" t="s">
        <v>46</v>
      </c>
      <c r="AH43" s="3" t="s">
        <v>47</v>
      </c>
      <c r="AI43" s="3" t="s">
        <v>48</v>
      </c>
      <c r="AJ43" s="4">
        <v>15</v>
      </c>
      <c r="AK43" s="4">
        <v>0</v>
      </c>
      <c r="AL43" s="4">
        <v>0</v>
      </c>
      <c r="AM43" s="5">
        <v>790.8663237861</v>
      </c>
      <c r="AN43" s="5">
        <v>2048.16</v>
      </c>
      <c r="AO43" s="5">
        <v>11862.9948567915</v>
      </c>
      <c r="AP43" s="5">
        <v>30722.400000000001</v>
      </c>
      <c r="AQ43" s="5">
        <v>30722.400000000001</v>
      </c>
      <c r="AR43" s="5">
        <v>5530.03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/>
      <c r="AY43" s="5"/>
      <c r="AZ43" s="5"/>
      <c r="BA43" s="5">
        <v>0</v>
      </c>
      <c r="BB43" s="5">
        <v>0</v>
      </c>
      <c r="BC43" s="5">
        <v>0</v>
      </c>
      <c r="BD43" s="5">
        <v>25192.37</v>
      </c>
      <c r="BE43" s="5">
        <v>163.75</v>
      </c>
      <c r="BF43" s="5">
        <v>0</v>
      </c>
      <c r="BG43" s="5">
        <v>25192.37</v>
      </c>
      <c r="BH43" s="5">
        <v>755.77</v>
      </c>
      <c r="BI43" s="5">
        <v>0</v>
      </c>
      <c r="BJ43" s="5">
        <v>0</v>
      </c>
      <c r="BK43" s="5">
        <v>0</v>
      </c>
      <c r="BL43" s="3" t="s">
        <v>49</v>
      </c>
      <c r="BM43" s="3"/>
      <c r="BN43" s="3" t="s">
        <v>55</v>
      </c>
      <c r="BO43" s="3" t="s">
        <v>51</v>
      </c>
      <c r="BP43" s="3" t="s">
        <v>393</v>
      </c>
      <c r="BQ43" s="6">
        <v>46999</v>
      </c>
    </row>
    <row r="44" spans="1:69" x14ac:dyDescent="0.25">
      <c r="A44" s="11" t="str">
        <f>LEFT([1]!MOVIMENTACOES[[#This Row],[Código]],9)</f>
        <v>008014002</v>
      </c>
      <c r="B44" s="11" t="s">
        <v>149</v>
      </c>
      <c r="C44" s="11" t="str">
        <f>TRIM(IFERROR(LEFT([1]!MOVIMENTACOES[[#This Row],[Descrição]],SEARCH([1]!MOVIMENTACOES[[#This Row],[EMBALAGEM]],[1]!MOVIMENTACOES[[#This Row],[Descrição]],1)-1),[1]!MOVIMENTACOES[[#This Row],[Descrição]]))</f>
        <v>INNOVA SPHERE P5-GO12</v>
      </c>
      <c r="D44" s="11" t="str">
        <f>_xlfn.CONCAT([1]!MOVIMENTACOES[[#This Row],[FABRICANTE]],[1]!MOVIMENTACOES[[#This Row],[DESCRIÇÃO SEM EMBALAGEM]],[1]!MOVIMENTACOES[[#This Row],[Coluna1]])</f>
        <v>KPTINNOVA SPHERE P5-GO121</v>
      </c>
      <c r="E44" s="12">
        <f>_xlfn.XLOOKUP([1]!MOVIMENTACOES[[#This Row],[CONCAT]],'[2]PRICE LIST'!$G:$G,'[2]PRICE LIST'!$Q:$Q,"VERIFICAR",0,1)</f>
        <v>288.88888888888891</v>
      </c>
      <c r="F44" s="13">
        <f>_xlfn.XLOOKUP([1]!MOVIMENTACOES[[#This Row],[Data]],[1]PTAX!A:A,[1]PTAX!C:C,"VERIFICAR",0,1)*[1]!MOVIMENTACOES[[#This Row],[PREÇO DE LISTA DOLAR]]</f>
        <v>1556.3600000000004</v>
      </c>
      <c r="G44" s="14">
        <f>[1]!MOVIMENTACOES[[#This Row],[PREÇO NET]]-[1]!MOVIMENTACOES[[#This Row],[PREÇO DE LISTA REAL]]</f>
        <v>-105.64000000000033</v>
      </c>
      <c r="H44" s="15">
        <f>-[1]!MOVIMENTACOES[[#This Row],[DESCONTO CONCEDIDO]]/[1]!MOVIMENTACOES[[#This Row],[PREÇO DE LISTA REAL]]</f>
        <v>6.7876326813847893E-2</v>
      </c>
      <c r="I4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1450.72</v>
      </c>
      <c r="J44" s="15">
        <f>VLOOKUP([1]!MOVIMENTACOES[[#This Row],[DESC %]],[1]!DESC[#Data],2,TRUE)</f>
        <v>7.0000000000000001E-3</v>
      </c>
      <c r="K44" s="15">
        <f>_xlfn.XLOOKUP([1]!MOVIMENTACOES[[#This Row],[NF-e]],'[1]PEDIDOS E COMISSOES'!A:A,'[1]PEDIDOS E COMISSOES'!E:E,"VERIFICAR",0,1)</f>
        <v>0</v>
      </c>
      <c r="L44" s="15">
        <f>IF([1]!MOVIMENTACOES[[#This Row],[PERCENTUAL DE COMISSÕES]]+[1]!MOVIMENTACOES[[#This Row],[AJUSTE COMISSÃO]]&lt;0.06%,0.05%,[1]!MOVIMENTACOES[[#This Row],[PERCENTUAL DE COMISSÕES]]+[1]!MOVIMENTACOES[[#This Row],[AJUSTE COMISSÃO]])</f>
        <v>7.0000000000000001E-3</v>
      </c>
      <c r="M44" s="16">
        <f>[1]!MOVIMENTACOES[[#This Row],[COMISSÃO FINAL]]*([1]!MOVIMENTACOES[[#This Row],[PREÇO NET]]*[1]!MOVIMENTACOES[[#This Row],[Qtde]])</f>
        <v>10.15504</v>
      </c>
      <c r="N44" s="14" t="str">
        <f>_xlfn.XLOOKUP(LEFT([1]!MOVIMENTACOES[[#This Row],[Código]],3),'[1]BASE DE FABRICANTES'!A:A,'[1]BASE DE FABRICANTES'!B:B,"VERIFICAR",0,1)</f>
        <v>KPT</v>
      </c>
      <c r="O44" s="14">
        <f>[1]!MOVIMENTACOES[[#This Row],[PREÇO NET]]*[1]!MOVIMENTACOES[[#This Row],[Qtde]]</f>
        <v>1450.72</v>
      </c>
      <c r="P44" s="17" t="s">
        <v>394</v>
      </c>
      <c r="Q44" s="17" t="s">
        <v>395</v>
      </c>
      <c r="R44" s="17" t="s">
        <v>49</v>
      </c>
      <c r="S44" s="17" t="s">
        <v>89</v>
      </c>
      <c r="T44" s="18">
        <v>46029</v>
      </c>
      <c r="U44" s="18" t="s">
        <v>396</v>
      </c>
      <c r="V44" s="17" t="s">
        <v>91</v>
      </c>
      <c r="W44" s="17"/>
      <c r="X44" s="17"/>
      <c r="Y44" s="17" t="s">
        <v>397</v>
      </c>
      <c r="Z44" s="17" t="s">
        <v>398</v>
      </c>
      <c r="AA44" s="17" t="s">
        <v>399</v>
      </c>
      <c r="AB44" s="17"/>
      <c r="AC44" s="17" t="s">
        <v>384</v>
      </c>
      <c r="AD44" s="17"/>
      <c r="AE44" s="17" t="s">
        <v>44</v>
      </c>
      <c r="AF44" s="17" t="s">
        <v>45</v>
      </c>
      <c r="AG44" s="17" t="s">
        <v>46</v>
      </c>
      <c r="AH44" s="17" t="s">
        <v>47</v>
      </c>
      <c r="AI44" s="17" t="s">
        <v>48</v>
      </c>
      <c r="AJ44" s="19">
        <v>1</v>
      </c>
      <c r="AK44" s="19">
        <v>7</v>
      </c>
      <c r="AL44" s="19">
        <v>0</v>
      </c>
      <c r="AM44" s="20">
        <v>549.26833897250003</v>
      </c>
      <c r="AN44" s="20">
        <v>1836.2</v>
      </c>
      <c r="AO44" s="20">
        <v>549.26833897250003</v>
      </c>
      <c r="AP44" s="20">
        <v>1836.2</v>
      </c>
      <c r="AQ44" s="20">
        <v>1836.2</v>
      </c>
      <c r="AR44" s="20">
        <v>330.52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/>
      <c r="AY44" s="20"/>
      <c r="AZ44" s="20"/>
      <c r="BA44" s="20">
        <v>1836.2</v>
      </c>
      <c r="BB44" s="20">
        <v>119.35</v>
      </c>
      <c r="BC44" s="20">
        <v>0</v>
      </c>
      <c r="BD44" s="20">
        <v>1505.68</v>
      </c>
      <c r="BE44" s="20">
        <v>9.7899999999999991</v>
      </c>
      <c r="BF44" s="20">
        <v>0</v>
      </c>
      <c r="BG44" s="20">
        <v>1505.68</v>
      </c>
      <c r="BH44" s="20">
        <v>45.17</v>
      </c>
      <c r="BI44" s="20">
        <v>0</v>
      </c>
      <c r="BJ44" s="20">
        <v>0</v>
      </c>
      <c r="BK44" s="20">
        <v>0</v>
      </c>
      <c r="BL44" s="17" t="s">
        <v>49</v>
      </c>
      <c r="BM44" s="17"/>
      <c r="BN44" s="17" t="s">
        <v>55</v>
      </c>
      <c r="BO44" s="17" t="s">
        <v>51</v>
      </c>
      <c r="BP44" s="17" t="s">
        <v>400</v>
      </c>
      <c r="BQ44" s="18">
        <v>46539</v>
      </c>
    </row>
    <row r="45" spans="1:69" x14ac:dyDescent="0.25">
      <c r="A45" s="11" t="str">
        <f>LEFT([1]!MOVIMENTACOES[[#This Row],[Código]],9)</f>
        <v>002004041</v>
      </c>
      <c r="B45" s="11" t="s">
        <v>99</v>
      </c>
      <c r="C45" s="11" t="str">
        <f>TRIM(IFERROR(LEFT([1]!MOVIMENTACOES[[#This Row],[Descrição]],SEARCH([1]!MOVIMENTACOES[[#This Row],[EMBALAGEM]],[1]!MOVIMENTACOES[[#This Row],[Descrição]],1)-1),[1]!MOVIMENTACOES[[#This Row],[Descrição]]))</f>
        <v>JMSW ED</v>
      </c>
      <c r="D45" s="11" t="str">
        <f>_xlfn.CONCAT([1]!MOVIMENTACOES[[#This Row],[FABRICANTE]],[1]!MOVIMENTACOES[[#This Row],[DESCRIÇÃO SEM EMBALAGEM]],[1]!MOVIMENTACOES[[#This Row],[Coluna1]])</f>
        <v>BIOLANDJMSW ED5</v>
      </c>
      <c r="E45" s="12">
        <f>_xlfn.XLOOKUP([1]!MOVIMENTACOES[[#This Row],[CONCAT]],'[2]PRICE LIST'!$G:$G,'[2]PRICE LIST'!$Q:$Q,"VERIFICAR",0,1)</f>
        <v>135.85030499999999</v>
      </c>
      <c r="F45" s="13">
        <f>_xlfn.XLOOKUP([1]!MOVIMENTACOES[[#This Row],[Data]],[1]PTAX!A:A,[1]PTAX!C:C,"VERIFICAR",0,1)*[1]!MOVIMENTACOES[[#This Row],[PREÇO DE LISTA DOLAR]]</f>
        <v>731.87993315699998</v>
      </c>
      <c r="G45" s="14">
        <f>[1]!MOVIMENTACOES[[#This Row],[PREÇO NET]]-[1]!MOVIMENTACOES[[#This Row],[PREÇO DE LISTA REAL]]</f>
        <v>6.9140668430000005</v>
      </c>
      <c r="H45" s="15">
        <f>-[1]!MOVIMENTACOES[[#This Row],[DESCONTO CONCEDIDO]]/[1]!MOVIMENTACOES[[#This Row],[PREÇO DE LISTA REAL]]</f>
        <v>-9.4469960573667234E-3</v>
      </c>
      <c r="I4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738.79399999999998</v>
      </c>
      <c r="J45" s="15">
        <f>VLOOKUP([1]!MOVIMENTACOES[[#This Row],[DESC %]],[1]!DESC[#Data],2,TRUE)</f>
        <v>0.01</v>
      </c>
      <c r="K45" s="15">
        <f>_xlfn.XLOOKUP([1]!MOVIMENTACOES[[#This Row],[NF-e]],'[1]PEDIDOS E COMISSOES'!A:A,'[1]PEDIDOS E COMISSOES'!E:E,"VERIFICAR",0,1)</f>
        <v>-5.0000000000000001E-4</v>
      </c>
      <c r="L45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45" s="16">
        <f>[1]!MOVIMENTACOES[[#This Row],[COMISSÃO FINAL]]*([1]!MOVIMENTACOES[[#This Row],[PREÇO NET]]*[1]!MOVIMENTACOES[[#This Row],[Qtde]])</f>
        <v>35.092714999999998</v>
      </c>
      <c r="N45" s="14" t="str">
        <f>_xlfn.XLOOKUP(LEFT([1]!MOVIMENTACOES[[#This Row],[Código]],3),'[1]BASE DE FABRICANTES'!A:A,'[1]BASE DE FABRICANTES'!B:B,"VERIFICAR",0,1)</f>
        <v>BIOLAND</v>
      </c>
      <c r="O45" s="14">
        <f>[1]!MOVIMENTACOES[[#This Row],[PREÇO NET]]*[1]!MOVIMENTACOES[[#This Row],[Qtde]]</f>
        <v>3693.97</v>
      </c>
      <c r="P45" s="3" t="s">
        <v>401</v>
      </c>
      <c r="Q45" s="3" t="s">
        <v>402</v>
      </c>
      <c r="R45" s="3" t="s">
        <v>49</v>
      </c>
      <c r="S45" s="3" t="s">
        <v>350</v>
      </c>
      <c r="T45" s="6">
        <v>46029</v>
      </c>
      <c r="U45" s="6" t="s">
        <v>403</v>
      </c>
      <c r="V45" s="3" t="s">
        <v>91</v>
      </c>
      <c r="W45" s="3"/>
      <c r="X45" s="3"/>
      <c r="Y45" s="3" t="s">
        <v>404</v>
      </c>
      <c r="Z45" s="3" t="s">
        <v>405</v>
      </c>
      <c r="AA45" s="3" t="s">
        <v>406</v>
      </c>
      <c r="AB45" s="3"/>
      <c r="AC45" s="3" t="s">
        <v>384</v>
      </c>
      <c r="AD45" s="3" t="s">
        <v>43</v>
      </c>
      <c r="AE45" s="3" t="s">
        <v>44</v>
      </c>
      <c r="AF45" s="3" t="s">
        <v>45</v>
      </c>
      <c r="AG45" s="3" t="s">
        <v>46</v>
      </c>
      <c r="AH45" s="3" t="s">
        <v>47</v>
      </c>
      <c r="AI45" s="3" t="s">
        <v>48</v>
      </c>
      <c r="AJ45" s="4">
        <v>5</v>
      </c>
      <c r="AK45" s="4">
        <v>10</v>
      </c>
      <c r="AL45" s="4">
        <v>0</v>
      </c>
      <c r="AM45" s="5">
        <v>216.52961815450001</v>
      </c>
      <c r="AN45" s="5">
        <v>935.1</v>
      </c>
      <c r="AO45" s="5">
        <v>1082.6480907724999</v>
      </c>
      <c r="AP45" s="5">
        <v>4675.5</v>
      </c>
      <c r="AQ45" s="5">
        <v>4675.5</v>
      </c>
      <c r="AR45" s="5">
        <v>841.59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/>
      <c r="AY45" s="5"/>
      <c r="AZ45" s="5"/>
      <c r="BA45" s="5">
        <v>0</v>
      </c>
      <c r="BB45" s="5">
        <v>0</v>
      </c>
      <c r="BC45" s="5">
        <v>0</v>
      </c>
      <c r="BD45" s="5">
        <v>3833.91</v>
      </c>
      <c r="BE45" s="5">
        <v>24.92</v>
      </c>
      <c r="BF45" s="5">
        <v>0</v>
      </c>
      <c r="BG45" s="5">
        <v>3833.91</v>
      </c>
      <c r="BH45" s="5">
        <v>115.02</v>
      </c>
      <c r="BI45" s="5">
        <v>0</v>
      </c>
      <c r="BJ45" s="5">
        <v>0</v>
      </c>
      <c r="BK45" s="5">
        <v>0</v>
      </c>
      <c r="BL45" s="3" t="s">
        <v>49</v>
      </c>
      <c r="BM45" s="3"/>
      <c r="BN45" s="3" t="s">
        <v>55</v>
      </c>
      <c r="BO45" s="3" t="s">
        <v>51</v>
      </c>
      <c r="BP45" s="3" t="s">
        <v>407</v>
      </c>
      <c r="BQ45" s="6">
        <v>46533</v>
      </c>
    </row>
    <row r="46" spans="1:69" x14ac:dyDescent="0.25">
      <c r="A46" s="11" t="str">
        <f>LEFT([1]!MOVIMENTACOES[[#This Row],[Código]],9)</f>
        <v>063004003</v>
      </c>
      <c r="B46" s="11" t="s">
        <v>99</v>
      </c>
      <c r="C46" s="11" t="str">
        <f>TRIM(IFERROR(LEFT([1]!MOVIMENTACOES[[#This Row],[Descrição]],SEARCH([1]!MOVIMENTACOES[[#This Row],[EMBALAGEM]],[1]!MOVIMENTACOES[[#This Row],[Descrição]],1)-1),[1]!MOVIMENTACOES[[#This Row],[Descrição]]))</f>
        <v>MOISTSHIELD HA</v>
      </c>
      <c r="D46" s="11" t="str">
        <f>_xlfn.CONCAT([1]!MOVIMENTACOES[[#This Row],[FABRICANTE]],[1]!MOVIMENTACOES[[#This Row],[DESCRIÇÃO SEM EMBALAGEM]],[1]!MOVIMENTACOES[[#This Row],[Coluna1]])</f>
        <v>IC BIOMOISTSHIELD HA5</v>
      </c>
      <c r="E46" s="12">
        <f>_xlfn.XLOOKUP([1]!MOVIMENTACOES[[#This Row],[CONCAT]],'[2]PRICE LIST'!$G:$G,'[2]PRICE LIST'!$Q:$Q,"VERIFICAR",0,1)</f>
        <v>608.00900000000024</v>
      </c>
      <c r="F46" s="13">
        <f>_xlfn.XLOOKUP([1]!MOVIMENTACOES[[#This Row],[Data]],[1]PTAX!A:A,[1]PTAX!C:C,"VERIFICAR",0,1)*[1]!MOVIMENTACOES[[#This Row],[PREÇO DE LISTA DOLAR]]</f>
        <v>3275.5876866000017</v>
      </c>
      <c r="G46" s="14">
        <f>[1]!MOVIMENTACOES[[#This Row],[PREÇO NET]]-[1]!MOVIMENTACOES[[#This Row],[PREÇO DE LISTA REAL]]</f>
        <v>-188.30968660000144</v>
      </c>
      <c r="H46" s="15">
        <f>-[1]!MOVIMENTACOES[[#This Row],[DESCONTO CONCEDIDO]]/[1]!MOVIMENTACOES[[#This Row],[PREÇO DE LISTA REAL]]</f>
        <v>5.7488824790235843E-2</v>
      </c>
      <c r="I4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3087.2780000000002</v>
      </c>
      <c r="J46" s="15">
        <f>VLOOKUP([1]!MOVIMENTACOES[[#This Row],[DESC %]],[1]!DESC[#Data],2,TRUE)</f>
        <v>7.0000000000000001E-3</v>
      </c>
      <c r="K46" s="15">
        <f>_xlfn.XLOOKUP([1]!MOVIMENTACOES[[#This Row],[NF-e]],'[1]PEDIDOS E COMISSOES'!A:A,'[1]PEDIDOS E COMISSOES'!E:E,"VERIFICAR",0,1)</f>
        <v>-5.0000000000000001E-4</v>
      </c>
      <c r="L46" s="15">
        <f>IF([1]!MOVIMENTACOES[[#This Row],[PERCENTUAL DE COMISSÕES]]+[1]!MOVIMENTACOES[[#This Row],[AJUSTE COMISSÃO]]&lt;0.06%,0.05%,[1]!MOVIMENTACOES[[#This Row],[PERCENTUAL DE COMISSÕES]]+[1]!MOVIMENTACOES[[#This Row],[AJUSTE COMISSÃO]])</f>
        <v>6.5000000000000006E-3</v>
      </c>
      <c r="M46" s="16">
        <f>[1]!MOVIMENTACOES[[#This Row],[COMISSÃO FINAL]]*([1]!MOVIMENTACOES[[#This Row],[PREÇO NET]]*[1]!MOVIMENTACOES[[#This Row],[Qtde]])</f>
        <v>100.33653500000001</v>
      </c>
      <c r="N46" s="14" t="str">
        <f>_xlfn.XLOOKUP(LEFT([1]!MOVIMENTACOES[[#This Row],[Código]],3),'[1]BASE DE FABRICANTES'!A:A,'[1]BASE DE FABRICANTES'!B:B,"VERIFICAR",0,1)</f>
        <v>IC BIO</v>
      </c>
      <c r="O46" s="14">
        <f>[1]!MOVIMENTACOES[[#This Row],[PREÇO NET]]*[1]!MOVIMENTACOES[[#This Row],[Qtde]]</f>
        <v>15436.390000000001</v>
      </c>
      <c r="P46" s="17" t="s">
        <v>100</v>
      </c>
      <c r="Q46" s="17" t="s">
        <v>101</v>
      </c>
      <c r="R46" s="17" t="s">
        <v>49</v>
      </c>
      <c r="S46" s="17" t="s">
        <v>102</v>
      </c>
      <c r="T46" s="18">
        <v>46029</v>
      </c>
      <c r="U46" s="18" t="s">
        <v>403</v>
      </c>
      <c r="V46" s="17" t="s">
        <v>91</v>
      </c>
      <c r="W46" s="17"/>
      <c r="X46" s="17"/>
      <c r="Y46" s="17" t="s">
        <v>404</v>
      </c>
      <c r="Z46" s="17" t="s">
        <v>405</v>
      </c>
      <c r="AA46" s="17" t="s">
        <v>406</v>
      </c>
      <c r="AB46" s="17"/>
      <c r="AC46" s="17" t="s">
        <v>384</v>
      </c>
      <c r="AD46" s="17" t="s">
        <v>108</v>
      </c>
      <c r="AE46" s="17" t="s">
        <v>44</v>
      </c>
      <c r="AF46" s="17" t="s">
        <v>45</v>
      </c>
      <c r="AG46" s="17" t="s">
        <v>46</v>
      </c>
      <c r="AH46" s="17" t="s">
        <v>47</v>
      </c>
      <c r="AI46" s="17" t="s">
        <v>48</v>
      </c>
      <c r="AJ46" s="19">
        <v>5</v>
      </c>
      <c r="AK46" s="19">
        <v>20</v>
      </c>
      <c r="AL46" s="19">
        <v>0</v>
      </c>
      <c r="AM46" s="20">
        <v>226.1667811531</v>
      </c>
      <c r="AN46" s="20">
        <v>3907.6</v>
      </c>
      <c r="AO46" s="20">
        <v>1130.8339057655</v>
      </c>
      <c r="AP46" s="20">
        <v>19538</v>
      </c>
      <c r="AQ46" s="20">
        <v>19538</v>
      </c>
      <c r="AR46" s="20">
        <v>3516.84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/>
      <c r="AY46" s="20"/>
      <c r="AZ46" s="20"/>
      <c r="BA46" s="20">
        <v>19538</v>
      </c>
      <c r="BB46" s="20">
        <v>634.99</v>
      </c>
      <c r="BC46" s="20">
        <v>0</v>
      </c>
      <c r="BD46" s="20">
        <v>16021.16</v>
      </c>
      <c r="BE46" s="20">
        <v>104.14</v>
      </c>
      <c r="BF46" s="20">
        <v>0</v>
      </c>
      <c r="BG46" s="20">
        <v>16021.16</v>
      </c>
      <c r="BH46" s="20">
        <v>480.63</v>
      </c>
      <c r="BI46" s="20">
        <v>0</v>
      </c>
      <c r="BJ46" s="20">
        <v>0</v>
      </c>
      <c r="BK46" s="20">
        <v>0</v>
      </c>
      <c r="BL46" s="17" t="s">
        <v>49</v>
      </c>
      <c r="BM46" s="17"/>
      <c r="BN46" s="17" t="s">
        <v>55</v>
      </c>
      <c r="BO46" s="17" t="s">
        <v>51</v>
      </c>
      <c r="BP46" s="17" t="s">
        <v>117</v>
      </c>
      <c r="BQ46" s="18">
        <v>46653</v>
      </c>
    </row>
    <row r="47" spans="1:69" x14ac:dyDescent="0.25">
      <c r="A47" s="11" t="str">
        <f>LEFT([1]!MOVIMENTACOES[[#This Row],[Código]],9)</f>
        <v>001004001</v>
      </c>
      <c r="B47" s="11" t="s">
        <v>149</v>
      </c>
      <c r="C47" s="11" t="str">
        <f>TRIM(IFERROR(LEFT([1]!MOVIMENTACOES[[#This Row],[Descrição]],SEARCH([1]!MOVIMENTACOES[[#This Row],[EMBALAGEM]],[1]!MOVIMENTACOES[[#This Row],[Descrição]],1)-1),[1]!MOVIMENTACOES[[#This Row],[Descrição]]))</f>
        <v>3M3 LIGHTERIS G</v>
      </c>
      <c r="D47" s="11" t="str">
        <f>_xlfn.CONCAT([1]!MOVIMENTACOES[[#This Row],[FABRICANTE]],[1]!MOVIMENTACOES[[#This Row],[DESCRIÇÃO SEM EMBALAGEM]],[1]!MOVIMENTACOES[[#This Row],[Coluna1]])</f>
        <v>CODIF3M3 LIGHTERIS G1</v>
      </c>
      <c r="E47" s="12">
        <f>_xlfn.XLOOKUP([1]!MOVIMENTACOES[[#This Row],[CONCAT]],'[2]PRICE LIST'!$G:$G,'[2]PRICE LIST'!$Q:$Q,"VERIFICAR",0,1)</f>
        <v>135.33272588</v>
      </c>
      <c r="F47" s="13">
        <f>_xlfn.XLOOKUP([1]!MOVIMENTACOES[[#This Row],[Data]],[1]PTAX!A:A,[1]PTAX!C:C,"VERIFICAR",0,1)*[1]!MOVIMENTACOES[[#This Row],[PREÇO DE LISTA DOLAR]]</f>
        <v>729.09152740591207</v>
      </c>
      <c r="G47" s="14">
        <f>[1]!MOVIMENTACOES[[#This Row],[PREÇO NET]]-[1]!MOVIMENTACOES[[#This Row],[PREÇO DE LISTA REAL]]</f>
        <v>274.10847259408797</v>
      </c>
      <c r="H47" s="15">
        <f>-[1]!MOVIMENTACOES[[#This Row],[DESCONTO CONCEDIDO]]/[1]!MOVIMENTACOES[[#This Row],[PREÇO DE LISTA REAL]]</f>
        <v>-0.37595893285080201</v>
      </c>
      <c r="I4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1003.2</v>
      </c>
      <c r="J47" s="15">
        <f>VLOOKUP([1]!MOVIMENTACOES[[#This Row],[DESC %]],[1]!DESC[#Data],2,TRUE)</f>
        <v>0.01</v>
      </c>
      <c r="K47" s="15">
        <f>_xlfn.XLOOKUP([1]!MOVIMENTACOES[[#This Row],[NF-e]],'[1]PEDIDOS E COMISSOES'!A:A,'[1]PEDIDOS E COMISSOES'!E:E,"VERIFICAR",0,1)</f>
        <v>-5.0000000000000001E-4</v>
      </c>
      <c r="L47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47" s="16">
        <f>[1]!MOVIMENTACOES[[#This Row],[COMISSÃO FINAL]]*([1]!MOVIMENTACOES[[#This Row],[PREÇO NET]]*[1]!MOVIMENTACOES[[#This Row],[Qtde]])</f>
        <v>9.5304000000000002</v>
      </c>
      <c r="N47" s="14" t="str">
        <f>_xlfn.XLOOKUP(LEFT([1]!MOVIMENTACOES[[#This Row],[Código]],3),'[1]BASE DE FABRICANTES'!A:A,'[1]BASE DE FABRICANTES'!B:B,"VERIFICAR",0,1)</f>
        <v>CODIF</v>
      </c>
      <c r="O47" s="14">
        <f>[1]!MOVIMENTACOES[[#This Row],[PREÇO NET]]*[1]!MOVIMENTACOES[[#This Row],[Qtde]]</f>
        <v>1003.2</v>
      </c>
      <c r="P47" s="3" t="s">
        <v>408</v>
      </c>
      <c r="Q47" s="3" t="s">
        <v>409</v>
      </c>
      <c r="R47" s="3" t="s">
        <v>49</v>
      </c>
      <c r="S47" s="3" t="s">
        <v>120</v>
      </c>
      <c r="T47" s="6">
        <v>46029</v>
      </c>
      <c r="U47" s="6" t="s">
        <v>410</v>
      </c>
      <c r="V47" s="3" t="s">
        <v>91</v>
      </c>
      <c r="W47" s="3"/>
      <c r="X47" s="3"/>
      <c r="Y47" s="3" t="s">
        <v>411</v>
      </c>
      <c r="Z47" s="3" t="s">
        <v>412</v>
      </c>
      <c r="AA47" s="3" t="s">
        <v>413</v>
      </c>
      <c r="AB47" s="3"/>
      <c r="AC47" s="3" t="s">
        <v>384</v>
      </c>
      <c r="AD47" s="3"/>
      <c r="AE47" s="3" t="s">
        <v>44</v>
      </c>
      <c r="AF47" s="3" t="s">
        <v>45</v>
      </c>
      <c r="AG47" s="3" t="s">
        <v>46</v>
      </c>
      <c r="AH47" s="3" t="s">
        <v>47</v>
      </c>
      <c r="AI47" s="3" t="s">
        <v>48</v>
      </c>
      <c r="AJ47" s="4">
        <v>1</v>
      </c>
      <c r="AK47" s="4">
        <v>1</v>
      </c>
      <c r="AL47" s="4">
        <v>0</v>
      </c>
      <c r="AM47" s="5">
        <v>274.86325928159999</v>
      </c>
      <c r="AN47" s="5">
        <v>1269.77</v>
      </c>
      <c r="AO47" s="5">
        <v>274.86325928159999</v>
      </c>
      <c r="AP47" s="5">
        <v>1269.77</v>
      </c>
      <c r="AQ47" s="5">
        <v>1269.77</v>
      </c>
      <c r="AR47" s="5">
        <v>228.56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/>
      <c r="AY47" s="5"/>
      <c r="AZ47" s="5"/>
      <c r="BA47" s="5">
        <v>0</v>
      </c>
      <c r="BB47" s="5">
        <v>0</v>
      </c>
      <c r="BC47" s="5">
        <v>0</v>
      </c>
      <c r="BD47" s="5">
        <v>1041.21</v>
      </c>
      <c r="BE47" s="5">
        <v>6.77</v>
      </c>
      <c r="BF47" s="5">
        <v>0</v>
      </c>
      <c r="BG47" s="5">
        <v>1041.21</v>
      </c>
      <c r="BH47" s="5">
        <v>31.24</v>
      </c>
      <c r="BI47" s="5">
        <v>0</v>
      </c>
      <c r="BJ47" s="5">
        <v>0</v>
      </c>
      <c r="BK47" s="5">
        <v>0</v>
      </c>
      <c r="BL47" s="3" t="s">
        <v>49</v>
      </c>
      <c r="BM47" s="3"/>
      <c r="BN47" s="3" t="s">
        <v>55</v>
      </c>
      <c r="BO47" s="3" t="s">
        <v>51</v>
      </c>
      <c r="BP47" s="3" t="s">
        <v>414</v>
      </c>
      <c r="BQ47" s="6">
        <v>46852</v>
      </c>
    </row>
    <row r="48" spans="1:69" x14ac:dyDescent="0.25">
      <c r="A48" s="11" t="str">
        <f>LEFT([1]!MOVIMENTACOES[[#This Row],[Código]],9)</f>
        <v>001004001</v>
      </c>
      <c r="B48" s="11" t="s">
        <v>149</v>
      </c>
      <c r="C48" s="11" t="str">
        <f>TRIM(IFERROR(LEFT([1]!MOVIMENTACOES[[#This Row],[Descrição]],SEARCH([1]!MOVIMENTACOES[[#This Row],[EMBALAGEM]],[1]!MOVIMENTACOES[[#This Row],[Descrição]],1)-1),[1]!MOVIMENTACOES[[#This Row],[Descrição]]))</f>
        <v>3M3 LIGHTERIS G</v>
      </c>
      <c r="D48" s="11" t="str">
        <f>_xlfn.CONCAT([1]!MOVIMENTACOES[[#This Row],[FABRICANTE]],[1]!MOVIMENTACOES[[#This Row],[DESCRIÇÃO SEM EMBALAGEM]],[1]!MOVIMENTACOES[[#This Row],[Coluna1]])</f>
        <v>CODIF3M3 LIGHTERIS G1</v>
      </c>
      <c r="E48" s="12">
        <f>_xlfn.XLOOKUP([1]!MOVIMENTACOES[[#This Row],[CONCAT]],'[2]PRICE LIST'!$G:$G,'[2]PRICE LIST'!$Q:$Q,"VERIFICAR",0,1)</f>
        <v>135.33272588</v>
      </c>
      <c r="F48" s="13">
        <f>_xlfn.XLOOKUP([1]!MOVIMENTACOES[[#This Row],[Data]],[1]PTAX!A:A,[1]PTAX!C:C,"VERIFICAR",0,1)*[1]!MOVIMENTACOES[[#This Row],[PREÇO DE LISTA DOLAR]]</f>
        <v>729.09152740591207</v>
      </c>
      <c r="G48" s="14">
        <f>[1]!MOVIMENTACOES[[#This Row],[PREÇO NET]]-[1]!MOVIMENTACOES[[#This Row],[PREÇO DE LISTA REAL]]</f>
        <v>274.10847259408797</v>
      </c>
      <c r="H48" s="15">
        <f>-[1]!MOVIMENTACOES[[#This Row],[DESCONTO CONCEDIDO]]/[1]!MOVIMENTACOES[[#This Row],[PREÇO DE LISTA REAL]]</f>
        <v>-0.37595893285080201</v>
      </c>
      <c r="I4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1003.2</v>
      </c>
      <c r="J48" s="15">
        <f>VLOOKUP([1]!MOVIMENTACOES[[#This Row],[DESC %]],[1]!DESC[#Data],2,TRUE)</f>
        <v>0.01</v>
      </c>
      <c r="K48" s="15">
        <f>_xlfn.XLOOKUP([1]!MOVIMENTACOES[[#This Row],[NF-e]],'[1]PEDIDOS E COMISSOES'!A:A,'[1]PEDIDOS E COMISSOES'!E:E,"VERIFICAR",0,1)</f>
        <v>-5.0000000000000001E-4</v>
      </c>
      <c r="L48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48" s="16">
        <f>[1]!MOVIMENTACOES[[#This Row],[COMISSÃO FINAL]]*([1]!MOVIMENTACOES[[#This Row],[PREÇO NET]]*[1]!MOVIMENTACOES[[#This Row],[Qtde]])</f>
        <v>9.5304000000000002</v>
      </c>
      <c r="N48" s="14" t="str">
        <f>_xlfn.XLOOKUP(LEFT([1]!MOVIMENTACOES[[#This Row],[Código]],3),'[1]BASE DE FABRICANTES'!A:A,'[1]BASE DE FABRICANTES'!B:B,"VERIFICAR",0,1)</f>
        <v>CODIF</v>
      </c>
      <c r="O48" s="14">
        <f>[1]!MOVIMENTACOES[[#This Row],[PREÇO NET]]*[1]!MOVIMENTACOES[[#This Row],[Qtde]]</f>
        <v>1003.2</v>
      </c>
      <c r="P48" s="17" t="s">
        <v>408</v>
      </c>
      <c r="Q48" s="17" t="s">
        <v>409</v>
      </c>
      <c r="R48" s="17" t="s">
        <v>49</v>
      </c>
      <c r="S48" s="17" t="s">
        <v>120</v>
      </c>
      <c r="T48" s="18">
        <v>46029</v>
      </c>
      <c r="U48" s="18" t="s">
        <v>410</v>
      </c>
      <c r="V48" s="17" t="s">
        <v>91</v>
      </c>
      <c r="W48" s="17"/>
      <c r="X48" s="17"/>
      <c r="Y48" s="17" t="s">
        <v>411</v>
      </c>
      <c r="Z48" s="17" t="s">
        <v>412</v>
      </c>
      <c r="AA48" s="17" t="s">
        <v>413</v>
      </c>
      <c r="AB48" s="17"/>
      <c r="AC48" s="17" t="s">
        <v>384</v>
      </c>
      <c r="AD48" s="17"/>
      <c r="AE48" s="17" t="s">
        <v>44</v>
      </c>
      <c r="AF48" s="17" t="s">
        <v>45</v>
      </c>
      <c r="AG48" s="17" t="s">
        <v>46</v>
      </c>
      <c r="AH48" s="17" t="s">
        <v>47</v>
      </c>
      <c r="AI48" s="17" t="s">
        <v>48</v>
      </c>
      <c r="AJ48" s="19">
        <v>1</v>
      </c>
      <c r="AK48" s="19">
        <v>0</v>
      </c>
      <c r="AL48" s="19">
        <v>0</v>
      </c>
      <c r="AM48" s="20">
        <v>274.86325928159999</v>
      </c>
      <c r="AN48" s="20">
        <v>1269.77</v>
      </c>
      <c r="AO48" s="20">
        <v>274.86325928159999</v>
      </c>
      <c r="AP48" s="20">
        <v>1269.77</v>
      </c>
      <c r="AQ48" s="20">
        <v>1269.77</v>
      </c>
      <c r="AR48" s="20">
        <v>228.56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/>
      <c r="AY48" s="20"/>
      <c r="AZ48" s="20"/>
      <c r="BA48" s="20">
        <v>0</v>
      </c>
      <c r="BB48" s="20">
        <v>0</v>
      </c>
      <c r="BC48" s="20">
        <v>0</v>
      </c>
      <c r="BD48" s="20">
        <v>1041.21</v>
      </c>
      <c r="BE48" s="20">
        <v>6.77</v>
      </c>
      <c r="BF48" s="20">
        <v>0</v>
      </c>
      <c r="BG48" s="20">
        <v>1041.21</v>
      </c>
      <c r="BH48" s="20">
        <v>31.24</v>
      </c>
      <c r="BI48" s="20">
        <v>0</v>
      </c>
      <c r="BJ48" s="20">
        <v>0</v>
      </c>
      <c r="BK48" s="20">
        <v>0</v>
      </c>
      <c r="BL48" s="17" t="s">
        <v>49</v>
      </c>
      <c r="BM48" s="17"/>
      <c r="BN48" s="17" t="s">
        <v>55</v>
      </c>
      <c r="BO48" s="17" t="s">
        <v>51</v>
      </c>
      <c r="BP48" s="17" t="s">
        <v>415</v>
      </c>
      <c r="BQ48" s="18">
        <v>46937</v>
      </c>
    </row>
    <row r="49" spans="1:69" x14ac:dyDescent="0.25">
      <c r="A49" s="11" t="str">
        <f>LEFT([1]!MOVIMENTACOES[[#This Row],[Código]],9)</f>
        <v>002004041</v>
      </c>
      <c r="B49" s="11" t="s">
        <v>99</v>
      </c>
      <c r="C49" s="11" t="str">
        <f>TRIM(IFERROR(LEFT([1]!MOVIMENTACOES[[#This Row],[Descrição]],SEARCH([1]!MOVIMENTACOES[[#This Row],[EMBALAGEM]],[1]!MOVIMENTACOES[[#This Row],[Descrição]],1)-1),[1]!MOVIMENTACOES[[#This Row],[Descrição]]))</f>
        <v>JMSW ED</v>
      </c>
      <c r="D49" s="11" t="str">
        <f>_xlfn.CONCAT([1]!MOVIMENTACOES[[#This Row],[FABRICANTE]],[1]!MOVIMENTACOES[[#This Row],[DESCRIÇÃO SEM EMBALAGEM]],[1]!MOVIMENTACOES[[#This Row],[Coluna1]])</f>
        <v>BIOLANDJMSW ED5</v>
      </c>
      <c r="E49" s="12">
        <f>_xlfn.XLOOKUP([1]!MOVIMENTACOES[[#This Row],[CONCAT]],'[2]PRICE LIST'!$G:$G,'[2]PRICE LIST'!$Q:$Q,"VERIFICAR",0,1)</f>
        <v>135.85030499999999</v>
      </c>
      <c r="F49" s="13">
        <f>_xlfn.XLOOKUP([1]!MOVIMENTACOES[[#This Row],[Data]],[1]PTAX!A:A,[1]PTAX!C:C,"VERIFICAR",0,1)*[1]!MOVIMENTACOES[[#This Row],[PREÇO DE LISTA DOLAR]]</f>
        <v>731.87993315699998</v>
      </c>
      <c r="G49" s="14">
        <f>[1]!MOVIMENTACOES[[#This Row],[PREÇO NET]]-[1]!MOVIMENTACOES[[#This Row],[PREÇO DE LISTA REAL]]</f>
        <v>6.9140668430000005</v>
      </c>
      <c r="H49" s="15">
        <f>-[1]!MOVIMENTACOES[[#This Row],[DESCONTO CONCEDIDO]]/[1]!MOVIMENTACOES[[#This Row],[PREÇO DE LISTA REAL]]</f>
        <v>-9.4469960573667234E-3</v>
      </c>
      <c r="I4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738.79399999999998</v>
      </c>
      <c r="J49" s="15">
        <f>VLOOKUP([1]!MOVIMENTACOES[[#This Row],[DESC %]],[1]!DESC[#Data],2,TRUE)</f>
        <v>0.01</v>
      </c>
      <c r="K49" s="15">
        <f>_xlfn.XLOOKUP([1]!MOVIMENTACOES[[#This Row],[NF-e]],'[1]PEDIDOS E COMISSOES'!A:A,'[1]PEDIDOS E COMISSOES'!E:E,"VERIFICAR",0,1)</f>
        <v>-5.0000000000000001E-4</v>
      </c>
      <c r="L49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49" s="16">
        <f>[1]!MOVIMENTACOES[[#This Row],[COMISSÃO FINAL]]*([1]!MOVIMENTACOES[[#This Row],[PREÇO NET]]*[1]!MOVIMENTACOES[[#This Row],[Qtde]])</f>
        <v>35.092714999999998</v>
      </c>
      <c r="N49" s="14" t="str">
        <f>_xlfn.XLOOKUP(LEFT([1]!MOVIMENTACOES[[#This Row],[Código]],3),'[1]BASE DE FABRICANTES'!A:A,'[1]BASE DE FABRICANTES'!B:B,"VERIFICAR",0,1)</f>
        <v>BIOLAND</v>
      </c>
      <c r="O49" s="14">
        <f>[1]!MOVIMENTACOES[[#This Row],[PREÇO NET]]*[1]!MOVIMENTACOES[[#This Row],[Qtde]]</f>
        <v>3693.97</v>
      </c>
      <c r="P49" s="3" t="s">
        <v>401</v>
      </c>
      <c r="Q49" s="3" t="s">
        <v>402</v>
      </c>
      <c r="R49" s="3" t="s">
        <v>49</v>
      </c>
      <c r="S49" s="3" t="s">
        <v>350</v>
      </c>
      <c r="T49" s="6">
        <v>46029</v>
      </c>
      <c r="U49" s="6" t="s">
        <v>410</v>
      </c>
      <c r="V49" s="3" t="s">
        <v>91</v>
      </c>
      <c r="W49" s="3"/>
      <c r="X49" s="3"/>
      <c r="Y49" s="3" t="s">
        <v>411</v>
      </c>
      <c r="Z49" s="3" t="s">
        <v>412</v>
      </c>
      <c r="AA49" s="3" t="s">
        <v>413</v>
      </c>
      <c r="AB49" s="3"/>
      <c r="AC49" s="3" t="s">
        <v>384</v>
      </c>
      <c r="AD49" s="3" t="s">
        <v>43</v>
      </c>
      <c r="AE49" s="3" t="s">
        <v>44</v>
      </c>
      <c r="AF49" s="3" t="s">
        <v>45</v>
      </c>
      <c r="AG49" s="3" t="s">
        <v>46</v>
      </c>
      <c r="AH49" s="3" t="s">
        <v>47</v>
      </c>
      <c r="AI49" s="3" t="s">
        <v>48</v>
      </c>
      <c r="AJ49" s="4">
        <v>5</v>
      </c>
      <c r="AK49" s="4">
        <v>5</v>
      </c>
      <c r="AL49" s="4">
        <v>0</v>
      </c>
      <c r="AM49" s="5">
        <v>216.52961815450001</v>
      </c>
      <c r="AN49" s="5">
        <v>935.1</v>
      </c>
      <c r="AO49" s="5">
        <v>1082.6480907724999</v>
      </c>
      <c r="AP49" s="5">
        <v>4675.5</v>
      </c>
      <c r="AQ49" s="5">
        <v>4675.5</v>
      </c>
      <c r="AR49" s="5">
        <v>841.59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/>
      <c r="AY49" s="5"/>
      <c r="AZ49" s="5"/>
      <c r="BA49" s="5">
        <v>0</v>
      </c>
      <c r="BB49" s="5">
        <v>0</v>
      </c>
      <c r="BC49" s="5">
        <v>0</v>
      </c>
      <c r="BD49" s="5">
        <v>3833.91</v>
      </c>
      <c r="BE49" s="5">
        <v>24.92</v>
      </c>
      <c r="BF49" s="5">
        <v>0</v>
      </c>
      <c r="BG49" s="5">
        <v>3833.91</v>
      </c>
      <c r="BH49" s="5">
        <v>115.02</v>
      </c>
      <c r="BI49" s="5">
        <v>0</v>
      </c>
      <c r="BJ49" s="5">
        <v>0</v>
      </c>
      <c r="BK49" s="5">
        <v>0</v>
      </c>
      <c r="BL49" s="3" t="s">
        <v>49</v>
      </c>
      <c r="BM49" s="3"/>
      <c r="BN49" s="3" t="s">
        <v>55</v>
      </c>
      <c r="BO49" s="3" t="s">
        <v>51</v>
      </c>
      <c r="BP49" s="3" t="s">
        <v>407</v>
      </c>
      <c r="BQ49" s="6">
        <v>46533</v>
      </c>
    </row>
    <row r="50" spans="1:69" x14ac:dyDescent="0.25">
      <c r="A50" s="11" t="str">
        <f>LEFT([1]!MOVIMENTACOES[[#This Row],[Código]],9)</f>
        <v>001004005</v>
      </c>
      <c r="B50" s="11" t="s">
        <v>149</v>
      </c>
      <c r="C50" s="11" t="str">
        <f>TRIM(IFERROR(LEFT([1]!MOVIMENTACOES[[#This Row],[Descrição]],SEARCH([1]!MOVIMENTACOES[[#This Row],[EMBALAGEM]],[1]!MOVIMENTACOES[[#This Row],[Descrição]],1)-1),[1]!MOVIMENTACOES[[#This Row],[Descrição]]))</f>
        <v>EPIDERMIST P 1.5</v>
      </c>
      <c r="D50" s="11" t="str">
        <f>_xlfn.CONCAT([1]!MOVIMENTACOES[[#This Row],[FABRICANTE]],[1]!MOVIMENTACOES[[#This Row],[DESCRIÇÃO SEM EMBALAGEM]],[1]!MOVIMENTACOES[[#This Row],[Coluna1]])</f>
        <v>CODIFEPIDERMIST P 1.51</v>
      </c>
      <c r="E50" s="12">
        <f>_xlfn.XLOOKUP([1]!MOVIMENTACOES[[#This Row],[CONCAT]],'[2]PRICE LIST'!$G:$G,'[2]PRICE LIST'!$Q:$Q,"VERIFICAR",0,1)</f>
        <v>613.18717461999984</v>
      </c>
      <c r="F50" s="13">
        <f>_xlfn.XLOOKUP([1]!MOVIMENTACOES[[#This Row],[Data]],[1]PTAX!A:A,[1]PTAX!C:C,"VERIFICAR",0,1)*[1]!MOVIMENTACOES[[#This Row],[PREÇO DE LISTA DOLAR]]</f>
        <v>3303.4845845477876</v>
      </c>
      <c r="G50" s="14">
        <f>[1]!MOVIMENTACOES[[#This Row],[PREÇO NET]]-[1]!MOVIMENTACOES[[#This Row],[PREÇO DE LISTA REAL]]</f>
        <v>159.60541545221304</v>
      </c>
      <c r="H50" s="15">
        <f>-[1]!MOVIMENTACOES[[#This Row],[DESCONTO CONCEDIDO]]/[1]!MOVIMENTACOES[[#This Row],[PREÇO DE LISTA REAL]]</f>
        <v>-4.8314260704825217E-2</v>
      </c>
      <c r="I5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3463.0900000000006</v>
      </c>
      <c r="J50" s="15">
        <f>VLOOKUP([1]!MOVIMENTACOES[[#This Row],[DESC %]],[1]!DESC[#Data],2,TRUE)</f>
        <v>0.01</v>
      </c>
      <c r="K50" s="15">
        <f>_xlfn.XLOOKUP([1]!MOVIMENTACOES[[#This Row],[NF-e]],'[1]PEDIDOS E COMISSOES'!A:A,'[1]PEDIDOS E COMISSOES'!E:E,"VERIFICAR",0,1)</f>
        <v>-5.0000000000000001E-4</v>
      </c>
      <c r="L50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50" s="16">
        <f>[1]!MOVIMENTACOES[[#This Row],[COMISSÃO FINAL]]*([1]!MOVIMENTACOES[[#This Row],[PREÇO NET]]*[1]!MOVIMENTACOES[[#This Row],[Qtde]])</f>
        <v>32.899355000000007</v>
      </c>
      <c r="N50" s="14" t="str">
        <f>_xlfn.XLOOKUP(LEFT([1]!MOVIMENTACOES[[#This Row],[Código]],3),'[1]BASE DE FABRICANTES'!A:A,'[1]BASE DE FABRICANTES'!B:B,"VERIFICAR",0,1)</f>
        <v>CODIF</v>
      </c>
      <c r="O50" s="14">
        <f>[1]!MOVIMENTACOES[[#This Row],[PREÇO NET]]*[1]!MOVIMENTACOES[[#This Row],[Qtde]]</f>
        <v>3463.0900000000006</v>
      </c>
      <c r="P50" s="17" t="s">
        <v>416</v>
      </c>
      <c r="Q50" s="17" t="s">
        <v>417</v>
      </c>
      <c r="R50" s="17" t="s">
        <v>49</v>
      </c>
      <c r="S50" s="17" t="s">
        <v>120</v>
      </c>
      <c r="T50" s="18">
        <v>46029</v>
      </c>
      <c r="U50" s="18" t="s">
        <v>410</v>
      </c>
      <c r="V50" s="17" t="s">
        <v>91</v>
      </c>
      <c r="W50" s="17"/>
      <c r="X50" s="17"/>
      <c r="Y50" s="17" t="s">
        <v>411</v>
      </c>
      <c r="Z50" s="17" t="s">
        <v>412</v>
      </c>
      <c r="AA50" s="17" t="s">
        <v>413</v>
      </c>
      <c r="AB50" s="17"/>
      <c r="AC50" s="17" t="s">
        <v>384</v>
      </c>
      <c r="AD50" s="17" t="s">
        <v>125</v>
      </c>
      <c r="AE50" s="17" t="s">
        <v>44</v>
      </c>
      <c r="AF50" s="17" t="s">
        <v>45</v>
      </c>
      <c r="AG50" s="17" t="s">
        <v>46</v>
      </c>
      <c r="AH50" s="17" t="s">
        <v>47</v>
      </c>
      <c r="AI50" s="17" t="s">
        <v>48</v>
      </c>
      <c r="AJ50" s="19">
        <v>1</v>
      </c>
      <c r="AK50" s="19">
        <v>2</v>
      </c>
      <c r="AL50" s="19">
        <v>0</v>
      </c>
      <c r="AM50" s="20">
        <v>1472.3016651348</v>
      </c>
      <c r="AN50" s="20">
        <v>4383.2700000000004</v>
      </c>
      <c r="AO50" s="20">
        <v>1472.3016651348</v>
      </c>
      <c r="AP50" s="20">
        <v>4383.2700000000004</v>
      </c>
      <c r="AQ50" s="20">
        <v>4383.2700000000004</v>
      </c>
      <c r="AR50" s="20">
        <v>788.99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/>
      <c r="AY50" s="20"/>
      <c r="AZ50" s="20"/>
      <c r="BA50" s="20">
        <v>0</v>
      </c>
      <c r="BB50" s="20">
        <v>0</v>
      </c>
      <c r="BC50" s="20">
        <v>0</v>
      </c>
      <c r="BD50" s="20">
        <v>3594.28</v>
      </c>
      <c r="BE50" s="20">
        <v>23.36</v>
      </c>
      <c r="BF50" s="20">
        <v>0</v>
      </c>
      <c r="BG50" s="20">
        <v>3594.28</v>
      </c>
      <c r="BH50" s="20">
        <v>107.83</v>
      </c>
      <c r="BI50" s="20">
        <v>0</v>
      </c>
      <c r="BJ50" s="20">
        <v>0</v>
      </c>
      <c r="BK50" s="20">
        <v>0</v>
      </c>
      <c r="BL50" s="17" t="s">
        <v>49</v>
      </c>
      <c r="BM50" s="17"/>
      <c r="BN50" s="17" t="s">
        <v>55</v>
      </c>
      <c r="BO50" s="17" t="s">
        <v>51</v>
      </c>
      <c r="BP50" s="17" t="s">
        <v>418</v>
      </c>
      <c r="BQ50" s="18">
        <v>46558</v>
      </c>
    </row>
    <row r="51" spans="1:69" x14ac:dyDescent="0.25">
      <c r="A51" s="11" t="str">
        <f>LEFT([1]!MOVIMENTACOES[[#This Row],[Código]],9)</f>
        <v>002004001</v>
      </c>
      <c r="B51" s="11" t="s">
        <v>99</v>
      </c>
      <c r="C51" s="11" t="str">
        <f>TRIM(IFERROR(LEFT([1]!MOVIMENTACOES[[#This Row],[Descrição]],SEARCH([1]!MOVIMENTACOES[[#This Row],[EMBALAGEM]],[1]!MOVIMENTACOES[[#This Row],[Descrição]],1)-1),[1]!MOVIMENTACOES[[#This Row],[Descrição]]))</f>
        <v>PORTULACA EXTRACT</v>
      </c>
      <c r="D51" s="11" t="str">
        <f>_xlfn.CONCAT([1]!MOVIMENTACOES[[#This Row],[FABRICANTE]],[1]!MOVIMENTACOES[[#This Row],[DESCRIÇÃO SEM EMBALAGEM]],[1]!MOVIMENTACOES[[#This Row],[Coluna1]])</f>
        <v>BIOLANDPORTULACA EXTRACT5</v>
      </c>
      <c r="E51" s="12">
        <f>_xlfn.XLOOKUP([1]!MOVIMENTACOES[[#This Row],[CONCAT]],'[2]PRICE LIST'!$G:$G,'[2]PRICE LIST'!$Q:$Q,"VERIFICAR",0,1)</f>
        <v>180.186655</v>
      </c>
      <c r="F51" s="13">
        <f>_xlfn.XLOOKUP([1]!MOVIMENTACOES[[#This Row],[Data]],[1]PTAX!A:A,[1]PTAX!C:C,"VERIFICAR",0,1)*[1]!MOVIMENTACOES[[#This Row],[PREÇO DE LISTA DOLAR]]</f>
        <v>970.73758514700012</v>
      </c>
      <c r="G51" s="14">
        <f>[1]!MOVIMENTACOES[[#This Row],[PREÇO NET]]-[1]!MOVIMENTACOES[[#This Row],[PREÇO DE LISTA REAL]]</f>
        <v>300.24001485299982</v>
      </c>
      <c r="H51" s="15">
        <f>-[1]!MOVIMENTACOES[[#This Row],[DESCONTO CONCEDIDO]]/[1]!MOVIMENTACOES[[#This Row],[PREÇO DE LISTA REAL]]</f>
        <v>-0.30929060484202231</v>
      </c>
      <c r="I5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1270.9775999999999</v>
      </c>
      <c r="J51" s="15">
        <f>VLOOKUP([1]!MOVIMENTACOES[[#This Row],[DESC %]],[1]!DESC[#Data],2,TRUE)</f>
        <v>0.01</v>
      </c>
      <c r="K51" s="15">
        <f>_xlfn.XLOOKUP([1]!MOVIMENTACOES[[#This Row],[NF-e]],'[1]PEDIDOS E COMISSOES'!A:A,'[1]PEDIDOS E COMISSOES'!E:E,"VERIFICAR",0,1)</f>
        <v>-5.0000000000000001E-4</v>
      </c>
      <c r="L51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51" s="16">
        <f>[1]!MOVIMENTACOES[[#This Row],[COMISSÃO FINAL]]*([1]!MOVIMENTACOES[[#This Row],[PREÇO NET]]*[1]!MOVIMENTACOES[[#This Row],[Qtde]])</f>
        <v>301.85717999999997</v>
      </c>
      <c r="N51" s="14" t="str">
        <f>_xlfn.XLOOKUP(LEFT([1]!MOVIMENTACOES[[#This Row],[Código]],3),'[1]BASE DE FABRICANTES'!A:A,'[1]BASE DE FABRICANTES'!B:B,"VERIFICAR",0,1)</f>
        <v>BIOLAND</v>
      </c>
      <c r="O51" s="14">
        <f>[1]!MOVIMENTACOES[[#This Row],[PREÇO NET]]*[1]!MOVIMENTACOES[[#This Row],[Qtde]]</f>
        <v>31774.44</v>
      </c>
      <c r="P51" s="3" t="s">
        <v>419</v>
      </c>
      <c r="Q51" s="3" t="s">
        <v>420</v>
      </c>
      <c r="R51" s="3" t="s">
        <v>49</v>
      </c>
      <c r="S51" s="3" t="s">
        <v>120</v>
      </c>
      <c r="T51" s="6">
        <v>46029</v>
      </c>
      <c r="U51" s="6" t="s">
        <v>410</v>
      </c>
      <c r="V51" s="3" t="s">
        <v>91</v>
      </c>
      <c r="W51" s="3"/>
      <c r="X51" s="3"/>
      <c r="Y51" s="3" t="s">
        <v>411</v>
      </c>
      <c r="Z51" s="3" t="s">
        <v>412</v>
      </c>
      <c r="AA51" s="3" t="s">
        <v>413</v>
      </c>
      <c r="AB51" s="3"/>
      <c r="AC51" s="3" t="s">
        <v>384</v>
      </c>
      <c r="AD51" s="3" t="s">
        <v>43</v>
      </c>
      <c r="AE51" s="3" t="s">
        <v>44</v>
      </c>
      <c r="AF51" s="3" t="s">
        <v>45</v>
      </c>
      <c r="AG51" s="3" t="s">
        <v>46</v>
      </c>
      <c r="AH51" s="3" t="s">
        <v>47</v>
      </c>
      <c r="AI51" s="3" t="s">
        <v>48</v>
      </c>
      <c r="AJ51" s="4">
        <v>25</v>
      </c>
      <c r="AK51" s="4">
        <v>5</v>
      </c>
      <c r="AL51" s="4">
        <v>0</v>
      </c>
      <c r="AM51" s="5">
        <v>273.56254205779999</v>
      </c>
      <c r="AN51" s="5">
        <v>1608.69</v>
      </c>
      <c r="AO51" s="5">
        <v>6839.0635514449996</v>
      </c>
      <c r="AP51" s="5">
        <v>40217.25</v>
      </c>
      <c r="AQ51" s="5">
        <v>40217.25</v>
      </c>
      <c r="AR51" s="5">
        <v>7239.11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/>
      <c r="AY51" s="5"/>
      <c r="AZ51" s="5"/>
      <c r="BA51" s="5">
        <v>0</v>
      </c>
      <c r="BB51" s="5">
        <v>0</v>
      </c>
      <c r="BC51" s="5">
        <v>0</v>
      </c>
      <c r="BD51" s="5">
        <v>32978.14</v>
      </c>
      <c r="BE51" s="5">
        <v>214.36</v>
      </c>
      <c r="BF51" s="5">
        <v>0</v>
      </c>
      <c r="BG51" s="5">
        <v>32978.14</v>
      </c>
      <c r="BH51" s="5">
        <v>989.34</v>
      </c>
      <c r="BI51" s="5">
        <v>0</v>
      </c>
      <c r="BJ51" s="5">
        <v>0</v>
      </c>
      <c r="BK51" s="5">
        <v>0</v>
      </c>
      <c r="BL51" s="3" t="s">
        <v>49</v>
      </c>
      <c r="BM51" s="3"/>
      <c r="BN51" s="3" t="s">
        <v>55</v>
      </c>
      <c r="BO51" s="3" t="s">
        <v>51</v>
      </c>
      <c r="BP51" s="3" t="s">
        <v>421</v>
      </c>
      <c r="BQ51" s="6">
        <v>46585</v>
      </c>
    </row>
    <row r="52" spans="1:69" x14ac:dyDescent="0.25">
      <c r="A52" s="11" t="str">
        <f>LEFT([1]!MOVIMENTACOES[[#This Row],[Código]],9)</f>
        <v>002004062</v>
      </c>
      <c r="B52" s="11" t="s">
        <v>149</v>
      </c>
      <c r="C52" s="11" t="str">
        <f>TRIM(IFERROR(LEFT([1]!MOVIMENTACOES[[#This Row],[Descrição]],SEARCH([1]!MOVIMENTACOES[[#This Row],[EMBALAGEM]],[1]!MOVIMENTACOES[[#This Row],[Descrição]],1)-1),[1]!MOVIMENTACOES[[#This Row],[Descrição]]))</f>
        <v>MUSAP</v>
      </c>
      <c r="D52" s="11" t="str">
        <f>_xlfn.CONCAT([1]!MOVIMENTACOES[[#This Row],[FABRICANTE]],[1]!MOVIMENTACOES[[#This Row],[DESCRIÇÃO SEM EMBALAGEM]],[1]!MOVIMENTACOES[[#This Row],[Coluna1]])</f>
        <v>BIOLANDMUSAP1</v>
      </c>
      <c r="E52" s="12">
        <f>_xlfn.XLOOKUP([1]!MOVIMENTACOES[[#This Row],[CONCAT]],'[2]PRICE LIST'!$G:$G,'[2]PRICE LIST'!$Q:$Q,"VERIFICAR",0,1)</f>
        <v>383.29082545000006</v>
      </c>
      <c r="F52" s="13">
        <f>_xlfn.XLOOKUP([1]!MOVIMENTACOES[[#This Row],[Data]],[1]PTAX!A:A,[1]PTAX!C:C,"VERIFICAR",0,1)*[1]!MOVIMENTACOES[[#This Row],[PREÇO DE LISTA DOLAR]]</f>
        <v>2064.9409930293305</v>
      </c>
      <c r="G52" s="14">
        <f>[1]!MOVIMENTACOES[[#This Row],[PREÇO NET]]-[1]!MOVIMENTACOES[[#This Row],[PREÇO DE LISTA REAL]]</f>
        <v>-961.42599302933036</v>
      </c>
      <c r="H52" s="15">
        <f>-[1]!MOVIMENTACOES[[#This Row],[DESCONTO CONCEDIDO]]/[1]!MOVIMENTACOES[[#This Row],[PREÇO DE LISTA REAL]]</f>
        <v>0.46559489897040085</v>
      </c>
      <c r="I5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1103.5150000000001</v>
      </c>
      <c r="J52" s="15">
        <f>VLOOKUP([1]!MOVIMENTACOES[[#This Row],[DESC %]],[1]!DESC[#Data],2,TRUE)</f>
        <v>2.5000000000000001E-3</v>
      </c>
      <c r="K52" s="15">
        <f>_xlfn.XLOOKUP([1]!MOVIMENTACOES[[#This Row],[NF-e]],'[1]PEDIDOS E COMISSOES'!A:A,'[1]PEDIDOS E COMISSOES'!E:E,"VERIFICAR",0,1)</f>
        <v>-5.0000000000000001E-4</v>
      </c>
      <c r="L52" s="15">
        <f>IF([1]!MOVIMENTACOES[[#This Row],[PERCENTUAL DE COMISSÕES]]+[1]!MOVIMENTACOES[[#This Row],[AJUSTE COMISSÃO]]&lt;0.06%,0.05%,[1]!MOVIMENTACOES[[#This Row],[PERCENTUAL DE COMISSÕES]]+[1]!MOVIMENTACOES[[#This Row],[AJUSTE COMISSÃO]])</f>
        <v>2E-3</v>
      </c>
      <c r="M52" s="16">
        <f>[1]!MOVIMENTACOES[[#This Row],[COMISSÃO FINAL]]*([1]!MOVIMENTACOES[[#This Row],[PREÇO NET]]*[1]!MOVIMENTACOES[[#This Row],[Qtde]])</f>
        <v>4.4140600000000001</v>
      </c>
      <c r="N52" s="14" t="str">
        <f>_xlfn.XLOOKUP(LEFT([1]!MOVIMENTACOES[[#This Row],[Código]],3),'[1]BASE DE FABRICANTES'!A:A,'[1]BASE DE FABRICANTES'!B:B,"VERIFICAR",0,1)</f>
        <v>BIOLAND</v>
      </c>
      <c r="O52" s="14">
        <f>[1]!MOVIMENTACOES[[#This Row],[PREÇO NET]]*[1]!MOVIMENTACOES[[#This Row],[Qtde]]</f>
        <v>2207.0300000000002</v>
      </c>
      <c r="P52" s="17" t="s">
        <v>422</v>
      </c>
      <c r="Q52" s="17" t="s">
        <v>423</v>
      </c>
      <c r="R52" s="17" t="s">
        <v>49</v>
      </c>
      <c r="S52" s="17" t="s">
        <v>120</v>
      </c>
      <c r="T52" s="18">
        <v>46029</v>
      </c>
      <c r="U52" s="18" t="s">
        <v>410</v>
      </c>
      <c r="V52" s="17" t="s">
        <v>91</v>
      </c>
      <c r="W52" s="17"/>
      <c r="X52" s="17"/>
      <c r="Y52" s="17" t="s">
        <v>411</v>
      </c>
      <c r="Z52" s="17" t="s">
        <v>412</v>
      </c>
      <c r="AA52" s="17" t="s">
        <v>413</v>
      </c>
      <c r="AB52" s="17"/>
      <c r="AC52" s="17" t="s">
        <v>384</v>
      </c>
      <c r="AD52" s="17" t="s">
        <v>43</v>
      </c>
      <c r="AE52" s="17" t="s">
        <v>44</v>
      </c>
      <c r="AF52" s="17" t="s">
        <v>45</v>
      </c>
      <c r="AG52" s="17" t="s">
        <v>46</v>
      </c>
      <c r="AH52" s="17" t="s">
        <v>47</v>
      </c>
      <c r="AI52" s="17" t="s">
        <v>48</v>
      </c>
      <c r="AJ52" s="19">
        <v>2</v>
      </c>
      <c r="AK52" s="19">
        <v>18</v>
      </c>
      <c r="AL52" s="19">
        <v>0</v>
      </c>
      <c r="AM52" s="20">
        <v>335.73412500000001</v>
      </c>
      <c r="AN52" s="20">
        <v>1396.73</v>
      </c>
      <c r="AO52" s="20">
        <v>671.46825000000001</v>
      </c>
      <c r="AP52" s="20">
        <v>2793.46</v>
      </c>
      <c r="AQ52" s="20">
        <v>2793.46</v>
      </c>
      <c r="AR52" s="20">
        <v>502.82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/>
      <c r="AY52" s="20"/>
      <c r="AZ52" s="20"/>
      <c r="BA52" s="20">
        <v>0</v>
      </c>
      <c r="BB52" s="20">
        <v>0</v>
      </c>
      <c r="BC52" s="20">
        <v>0</v>
      </c>
      <c r="BD52" s="20">
        <v>2290.64</v>
      </c>
      <c r="BE52" s="20">
        <v>14.89</v>
      </c>
      <c r="BF52" s="20">
        <v>0</v>
      </c>
      <c r="BG52" s="20">
        <v>2290.64</v>
      </c>
      <c r="BH52" s="20">
        <v>68.72</v>
      </c>
      <c r="BI52" s="20">
        <v>0</v>
      </c>
      <c r="BJ52" s="20">
        <v>0</v>
      </c>
      <c r="BK52" s="20">
        <v>0</v>
      </c>
      <c r="BL52" s="17" t="s">
        <v>49</v>
      </c>
      <c r="BM52" s="17"/>
      <c r="BN52" s="17" t="s">
        <v>55</v>
      </c>
      <c r="BO52" s="17" t="s">
        <v>51</v>
      </c>
      <c r="BP52" s="17" t="s">
        <v>424</v>
      </c>
      <c r="BQ52" s="18">
        <v>46604</v>
      </c>
    </row>
    <row r="53" spans="1:69" x14ac:dyDescent="0.25">
      <c r="A53" s="11" t="str">
        <f>LEFT([1]!MOVIMENTACOES[[#This Row],[Código]],9)</f>
        <v>001004071</v>
      </c>
      <c r="B53" s="11" t="s">
        <v>149</v>
      </c>
      <c r="C53" s="11" t="str">
        <f>TRIM(IFERROR(LEFT([1]!MOVIMENTACOES[[#This Row],[Descrição]],SEARCH([1]!MOVIMENTACOES[[#This Row],[EMBALAGEM]],[1]!MOVIMENTACOES[[#This Row],[Descrição]],1)-1),[1]!MOVIMENTACOES[[#This Row],[Descrição]]))</f>
        <v>PHEOHYDRANE P</v>
      </c>
      <c r="D53" s="11" t="str">
        <f>_xlfn.CONCAT([1]!MOVIMENTACOES[[#This Row],[FABRICANTE]],[1]!MOVIMENTACOES[[#This Row],[DESCRIÇÃO SEM EMBALAGEM]],[1]!MOVIMENTACOES[[#This Row],[Coluna1]])</f>
        <v>CODIFPHEOHYDRANE P1</v>
      </c>
      <c r="E53" s="12">
        <f>_xlfn.XLOOKUP([1]!MOVIMENTACOES[[#This Row],[CONCAT]],'[2]PRICE LIST'!$G:$G,'[2]PRICE LIST'!$Q:$Q,"VERIFICAR",0,1)</f>
        <v>199.20717265999997</v>
      </c>
      <c r="F53" s="13">
        <f>_xlfn.XLOOKUP([1]!MOVIMENTACOES[[#This Row],[Data]],[1]PTAX!A:A,[1]PTAX!C:C,"VERIFICAR",0,1)*[1]!MOVIMENTACOES[[#This Row],[PREÇO DE LISTA DOLAR]]</f>
        <v>1073.2087219884838</v>
      </c>
      <c r="G53" s="14">
        <f>[1]!MOVIMENTACOES[[#This Row],[PREÇO NET]]-[1]!MOVIMENTACOES[[#This Row],[PREÇO DE LISTA REAL]]</f>
        <v>331.31127801151615</v>
      </c>
      <c r="H53" s="15">
        <f>-[1]!MOVIMENTACOES[[#This Row],[DESCONTO CONCEDIDO]]/[1]!MOVIMENTACOES[[#This Row],[PREÇO DE LISTA REAL]]</f>
        <v>-0.30871094431440088</v>
      </c>
      <c r="I5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1404.52</v>
      </c>
      <c r="J53" s="15">
        <f>VLOOKUP([1]!MOVIMENTACOES[[#This Row],[DESC %]],[1]!DESC[#Data],2,TRUE)</f>
        <v>0.01</v>
      </c>
      <c r="K53" s="15">
        <f>_xlfn.XLOOKUP([1]!MOVIMENTACOES[[#This Row],[NF-e]],'[1]PEDIDOS E COMISSOES'!A:A,'[1]PEDIDOS E COMISSOES'!E:E,"VERIFICAR",0,1)</f>
        <v>-5.0000000000000001E-4</v>
      </c>
      <c r="L53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53" s="16">
        <f>[1]!MOVIMENTACOES[[#This Row],[COMISSÃO FINAL]]*([1]!MOVIMENTACOES[[#This Row],[PREÇO NET]]*[1]!MOVIMENTACOES[[#This Row],[Qtde]])</f>
        <v>13.342939999999999</v>
      </c>
      <c r="N53" s="14" t="str">
        <f>_xlfn.XLOOKUP(LEFT([1]!MOVIMENTACOES[[#This Row],[Código]],3),'[1]BASE DE FABRICANTES'!A:A,'[1]BASE DE FABRICANTES'!B:B,"VERIFICAR",0,1)</f>
        <v>CODIF</v>
      </c>
      <c r="O53" s="14">
        <f>[1]!MOVIMENTACOES[[#This Row],[PREÇO NET]]*[1]!MOVIMENTACOES[[#This Row],[Qtde]]</f>
        <v>1404.52</v>
      </c>
      <c r="P53" s="3" t="s">
        <v>288</v>
      </c>
      <c r="Q53" s="3" t="s">
        <v>289</v>
      </c>
      <c r="R53" s="3" t="s">
        <v>49</v>
      </c>
      <c r="S53" s="3" t="s">
        <v>120</v>
      </c>
      <c r="T53" s="6">
        <v>46029</v>
      </c>
      <c r="U53" s="6" t="s">
        <v>410</v>
      </c>
      <c r="V53" s="3" t="s">
        <v>91</v>
      </c>
      <c r="W53" s="3"/>
      <c r="X53" s="3"/>
      <c r="Y53" s="3" t="s">
        <v>411</v>
      </c>
      <c r="Z53" s="3" t="s">
        <v>412</v>
      </c>
      <c r="AA53" s="3" t="s">
        <v>413</v>
      </c>
      <c r="AB53" s="3"/>
      <c r="AC53" s="3" t="s">
        <v>384</v>
      </c>
      <c r="AD53" s="3" t="s">
        <v>125</v>
      </c>
      <c r="AE53" s="3" t="s">
        <v>44</v>
      </c>
      <c r="AF53" s="3" t="s">
        <v>45</v>
      </c>
      <c r="AG53" s="3" t="s">
        <v>46</v>
      </c>
      <c r="AH53" s="3" t="s">
        <v>47</v>
      </c>
      <c r="AI53" s="3" t="s">
        <v>48</v>
      </c>
      <c r="AJ53" s="4">
        <v>1</v>
      </c>
      <c r="AK53" s="4">
        <v>0</v>
      </c>
      <c r="AL53" s="4">
        <v>0</v>
      </c>
      <c r="AM53" s="5">
        <v>406.23334578740003</v>
      </c>
      <c r="AN53" s="5">
        <v>1777.72</v>
      </c>
      <c r="AO53" s="5">
        <v>406.23334578740003</v>
      </c>
      <c r="AP53" s="5">
        <v>1777.72</v>
      </c>
      <c r="AQ53" s="5">
        <v>1777.72</v>
      </c>
      <c r="AR53" s="5">
        <v>319.99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/>
      <c r="AY53" s="5"/>
      <c r="AZ53" s="5"/>
      <c r="BA53" s="5">
        <v>0</v>
      </c>
      <c r="BB53" s="5">
        <v>0</v>
      </c>
      <c r="BC53" s="5">
        <v>0</v>
      </c>
      <c r="BD53" s="5">
        <v>1457.73</v>
      </c>
      <c r="BE53" s="5">
        <v>9.48</v>
      </c>
      <c r="BF53" s="5">
        <v>0</v>
      </c>
      <c r="BG53" s="5">
        <v>1457.73</v>
      </c>
      <c r="BH53" s="5">
        <v>43.73</v>
      </c>
      <c r="BI53" s="5">
        <v>0</v>
      </c>
      <c r="BJ53" s="5">
        <v>0</v>
      </c>
      <c r="BK53" s="5">
        <v>0</v>
      </c>
      <c r="BL53" s="3" t="s">
        <v>49</v>
      </c>
      <c r="BM53" s="3"/>
      <c r="BN53" s="3" t="s">
        <v>55</v>
      </c>
      <c r="BO53" s="3" t="s">
        <v>51</v>
      </c>
      <c r="BP53" s="3" t="s">
        <v>294</v>
      </c>
      <c r="BQ53" s="6">
        <v>47029</v>
      </c>
    </row>
    <row r="54" spans="1:69" x14ac:dyDescent="0.25">
      <c r="A54" s="11" t="str">
        <f>LEFT([1]!MOVIMENTACOES[[#This Row],[Código]],9)</f>
        <v>067004010</v>
      </c>
      <c r="B54" s="11" t="s">
        <v>149</v>
      </c>
      <c r="C54" s="11" t="str">
        <f>TRIM(IFERROR(LEFT([1]!MOVIMENTACOES[[#This Row],[Descrição]],SEARCH([1]!MOVIMENTACOES[[#This Row],[EMBALAGEM]],[1]!MOVIMENTACOES[[#This Row],[Descrição]],1)-1),[1]!MOVIMENTACOES[[#This Row],[Descrição]]))</f>
        <v>INNOVASENSE HOT FEEL</v>
      </c>
      <c r="D54" s="11" t="str">
        <f>_xlfn.CONCAT([1]!MOVIMENTACOES[[#This Row],[FABRICANTE]],[1]!MOVIMENTACOES[[#This Row],[DESCRIÇÃO SEM EMBALAGEM]],[1]!MOVIMENTACOES[[#This Row],[Coluna1]])</f>
        <v>CHEMAXCELINNOVASENSE HOT FEEL1</v>
      </c>
      <c r="E54" s="12">
        <f>_xlfn.XLOOKUP([1]!MOVIMENTACOES[[#This Row],[CONCAT]],'[2]PRICE LIST'!$G:$G,'[2]PRICE LIST'!$Q:$Q,"VERIFICAR",0,1)</f>
        <v>515.48281249999991</v>
      </c>
      <c r="F54" s="13">
        <f>_xlfn.XLOOKUP([1]!MOVIMENTACOES[[#This Row],[Data]],[1]PTAX!A:A,[1]PTAX!C:C,"VERIFICAR",0,1)*[1]!MOVIMENTACOES[[#This Row],[PREÇO DE LISTA DOLAR]]</f>
        <v>2777.1121040624998</v>
      </c>
      <c r="G54" s="14">
        <f>[1]!MOVIMENTACOES[[#This Row],[PREÇO NET]]-[1]!MOVIMENTACOES[[#This Row],[PREÇO DE LISTA REAL]]</f>
        <v>-922.64210406250004</v>
      </c>
      <c r="H54" s="15">
        <f>-[1]!MOVIMENTACOES[[#This Row],[DESCONTO CONCEDIDO]]/[1]!MOVIMENTACOES[[#This Row],[PREÇO DE LISTA REAL]]</f>
        <v>0.33223077408823815</v>
      </c>
      <c r="I5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1854.4699999999998</v>
      </c>
      <c r="J54" s="15">
        <f>VLOOKUP([1]!MOVIMENTACOES[[#This Row],[DESC %]],[1]!DESC[#Data],2,TRUE)</f>
        <v>2.5000000000000001E-3</v>
      </c>
      <c r="K54" s="15">
        <f>_xlfn.XLOOKUP([1]!MOVIMENTACOES[[#This Row],[NF-e]],'[1]PEDIDOS E COMISSOES'!A:A,'[1]PEDIDOS E COMISSOES'!E:E,"VERIFICAR",0,1)</f>
        <v>5.0000000000000001E-4</v>
      </c>
      <c r="L54" s="15">
        <f>IF([1]!MOVIMENTACOES[[#This Row],[PERCENTUAL DE COMISSÕES]]+[1]!MOVIMENTACOES[[#This Row],[AJUSTE COMISSÃO]]&lt;0.06%,0.05%,[1]!MOVIMENTACOES[[#This Row],[PERCENTUAL DE COMISSÕES]]+[1]!MOVIMENTACOES[[#This Row],[AJUSTE COMISSÃO]])</f>
        <v>3.0000000000000001E-3</v>
      </c>
      <c r="M54" s="16">
        <f>[1]!MOVIMENTACOES[[#This Row],[COMISSÃO FINAL]]*([1]!MOVIMENTACOES[[#This Row],[PREÇO NET]]*[1]!MOVIMENTACOES[[#This Row],[Qtde]])</f>
        <v>5.5634099999999993</v>
      </c>
      <c r="N54" s="14" t="str">
        <f>_xlfn.XLOOKUP(LEFT([1]!MOVIMENTACOES[[#This Row],[Código]],3),'[1]BASE DE FABRICANTES'!A:A,'[1]BASE DE FABRICANTES'!B:B,"VERIFICAR",0,1)</f>
        <v>CHEMAXCEL</v>
      </c>
      <c r="O54" s="14">
        <f>[1]!MOVIMENTACOES[[#This Row],[PREÇO NET]]*[1]!MOVIMENTACOES[[#This Row],[Qtde]]</f>
        <v>1854.4699999999998</v>
      </c>
      <c r="P54" s="17" t="s">
        <v>425</v>
      </c>
      <c r="Q54" s="17" t="s">
        <v>426</v>
      </c>
      <c r="R54" s="17" t="s">
        <v>49</v>
      </c>
      <c r="S54" s="17" t="s">
        <v>427</v>
      </c>
      <c r="T54" s="18">
        <v>46029</v>
      </c>
      <c r="U54" s="18" t="s">
        <v>428</v>
      </c>
      <c r="V54" s="17" t="s">
        <v>91</v>
      </c>
      <c r="W54" s="17"/>
      <c r="X54" s="17"/>
      <c r="Y54" s="17" t="s">
        <v>429</v>
      </c>
      <c r="Z54" s="17" t="s">
        <v>430</v>
      </c>
      <c r="AA54" s="17" t="s">
        <v>431</v>
      </c>
      <c r="AB54" s="17"/>
      <c r="AC54" s="17" t="s">
        <v>432</v>
      </c>
      <c r="AD54" s="17" t="s">
        <v>134</v>
      </c>
      <c r="AE54" s="17" t="s">
        <v>44</v>
      </c>
      <c r="AF54" s="17" t="s">
        <v>45</v>
      </c>
      <c r="AG54" s="17" t="s">
        <v>46</v>
      </c>
      <c r="AH54" s="17" t="s">
        <v>47</v>
      </c>
      <c r="AI54" s="17" t="s">
        <v>48</v>
      </c>
      <c r="AJ54" s="19">
        <v>1</v>
      </c>
      <c r="AK54" s="19">
        <v>66</v>
      </c>
      <c r="AL54" s="19">
        <v>0</v>
      </c>
      <c r="AM54" s="20">
        <v>666.73335592169997</v>
      </c>
      <c r="AN54" s="20">
        <v>2347.2199999999998</v>
      </c>
      <c r="AO54" s="20">
        <v>666.73335592169997</v>
      </c>
      <c r="AP54" s="20">
        <v>2347.2199999999998</v>
      </c>
      <c r="AQ54" s="20">
        <v>2347.2199999999998</v>
      </c>
      <c r="AR54" s="20">
        <v>422.5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/>
      <c r="AY54" s="20"/>
      <c r="AZ54" s="20"/>
      <c r="BA54" s="20">
        <v>0</v>
      </c>
      <c r="BB54" s="20">
        <v>0</v>
      </c>
      <c r="BC54" s="20">
        <v>0</v>
      </c>
      <c r="BD54" s="20">
        <v>1924.72</v>
      </c>
      <c r="BE54" s="20">
        <v>12.51</v>
      </c>
      <c r="BF54" s="20">
        <v>0</v>
      </c>
      <c r="BG54" s="20">
        <v>1924.72</v>
      </c>
      <c r="BH54" s="20">
        <v>57.74</v>
      </c>
      <c r="BI54" s="20">
        <v>0</v>
      </c>
      <c r="BJ54" s="20">
        <v>0</v>
      </c>
      <c r="BK54" s="20">
        <v>0</v>
      </c>
      <c r="BL54" s="17" t="s">
        <v>49</v>
      </c>
      <c r="BM54" s="17"/>
      <c r="BN54" s="17" t="s">
        <v>50</v>
      </c>
      <c r="BO54" s="17" t="s">
        <v>51</v>
      </c>
      <c r="BP54" s="17" t="s">
        <v>433</v>
      </c>
      <c r="BQ54" s="18">
        <v>46501</v>
      </c>
    </row>
    <row r="55" spans="1:69" x14ac:dyDescent="0.25">
      <c r="A55" s="11" t="str">
        <f>LEFT([1]!MOVIMENTACOES[[#This Row],[Código]],9)</f>
        <v>002004119</v>
      </c>
      <c r="B55" s="11" t="s">
        <v>149</v>
      </c>
      <c r="C55" s="11" t="str">
        <f>TRIM(IFERROR(LEFT([1]!MOVIMENTACOES[[#This Row],[Descrição]],SEARCH([1]!MOVIMENTACOES[[#This Row],[EMBALAGEM]],[1]!MOVIMENTACOES[[#This Row],[Descrição]],1)-1),[1]!MOVIMENTACOES[[#This Row],[Descrição]]))</f>
        <v>RICE PDRN (ED)</v>
      </c>
      <c r="D55" s="11" t="str">
        <f>_xlfn.CONCAT([1]!MOVIMENTACOES[[#This Row],[FABRICANTE]],[1]!MOVIMENTACOES[[#This Row],[DESCRIÇÃO SEM EMBALAGEM]],[1]!MOVIMENTACOES[[#This Row],[Coluna1]])</f>
        <v>BIOLANDRICE PDRN (ED)1</v>
      </c>
      <c r="E55" s="12">
        <f>_xlfn.XLOOKUP([1]!MOVIMENTACOES[[#This Row],[CONCAT]],'[2]PRICE LIST'!$G:$G,'[2]PRICE LIST'!$Q:$Q,"VERIFICAR",0,1)</f>
        <v>1733.8541049999999</v>
      </c>
      <c r="F55" s="13">
        <f>_xlfn.XLOOKUP([1]!MOVIMENTACOES[[#This Row],[Data]],[1]PTAX!A:A,[1]PTAX!C:C,"VERIFICAR",0,1)*[1]!MOVIMENTACOES[[#This Row],[PREÇO DE LISTA DOLAR]]</f>
        <v>9337.4978970669981</v>
      </c>
      <c r="G55" s="14">
        <f>[1]!MOVIMENTACOES[[#This Row],[PREÇO NET]]-[1]!MOVIMENTACOES[[#This Row],[PREÇO DE LISTA REAL]]</f>
        <v>-3239.8703970669985</v>
      </c>
      <c r="H55" s="15">
        <f>-[1]!MOVIMENTACOES[[#This Row],[DESCONTO CONCEDIDO]]/[1]!MOVIMENTACOES[[#This Row],[PREÇO DE LISTA REAL]]</f>
        <v>0.34697415011838173</v>
      </c>
      <c r="I5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6097.6274999999996</v>
      </c>
      <c r="J55" s="15">
        <f>VLOOKUP([1]!MOVIMENTACOES[[#This Row],[DESC %]],[1]!DESC[#Data],2,TRUE)</f>
        <v>2.5000000000000001E-3</v>
      </c>
      <c r="K55" s="15">
        <f>_xlfn.XLOOKUP([1]!MOVIMENTACOES[[#This Row],[NF-e]],'[1]PEDIDOS E COMISSOES'!A:A,'[1]PEDIDOS E COMISSOES'!E:E,"VERIFICAR",0,1)</f>
        <v>0</v>
      </c>
      <c r="L55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55" s="16">
        <f>[1]!MOVIMENTACOES[[#This Row],[COMISSÃO FINAL]]*([1]!MOVIMENTACOES[[#This Row],[PREÇO NET]]*[1]!MOVIMENTACOES[[#This Row],[Qtde]])</f>
        <v>60.976274999999994</v>
      </c>
      <c r="N55" s="14" t="str">
        <f>_xlfn.XLOOKUP(LEFT([1]!MOVIMENTACOES[[#This Row],[Código]],3),'[1]BASE DE FABRICANTES'!A:A,'[1]BASE DE FABRICANTES'!B:B,"VERIFICAR",0,1)</f>
        <v>BIOLAND</v>
      </c>
      <c r="O55" s="14">
        <f>[1]!MOVIMENTACOES[[#This Row],[PREÇO NET]]*[1]!MOVIMENTACOES[[#This Row],[Qtde]]</f>
        <v>24390.51</v>
      </c>
      <c r="P55" s="3" t="s">
        <v>434</v>
      </c>
      <c r="Q55" s="3" t="s">
        <v>435</v>
      </c>
      <c r="R55" s="3" t="s">
        <v>49</v>
      </c>
      <c r="S55" s="3" t="s">
        <v>89</v>
      </c>
      <c r="T55" s="6">
        <v>46030</v>
      </c>
      <c r="U55" s="6" t="s">
        <v>436</v>
      </c>
      <c r="V55" s="3" t="s">
        <v>91</v>
      </c>
      <c r="W55" s="3"/>
      <c r="X55" s="3"/>
      <c r="Y55" s="3" t="s">
        <v>437</v>
      </c>
      <c r="Z55" s="3" t="s">
        <v>438</v>
      </c>
      <c r="AA55" s="3" t="s">
        <v>439</v>
      </c>
      <c r="AB55" s="3"/>
      <c r="AC55" s="3" t="s">
        <v>440</v>
      </c>
      <c r="AD55" s="3" t="s">
        <v>43</v>
      </c>
      <c r="AE55" s="3" t="s">
        <v>44</v>
      </c>
      <c r="AF55" s="3" t="s">
        <v>45</v>
      </c>
      <c r="AG55" s="3" t="s">
        <v>46</v>
      </c>
      <c r="AH55" s="3" t="s">
        <v>47</v>
      </c>
      <c r="AI55" s="3" t="s">
        <v>48</v>
      </c>
      <c r="AJ55" s="4">
        <v>4</v>
      </c>
      <c r="AK55" s="4">
        <v>13</v>
      </c>
      <c r="AL55" s="4">
        <v>0</v>
      </c>
      <c r="AM55" s="5">
        <v>3715.8446784225998</v>
      </c>
      <c r="AN55" s="5">
        <v>7717.83</v>
      </c>
      <c r="AO55" s="5">
        <v>14863.378713690399</v>
      </c>
      <c r="AP55" s="5">
        <v>30871.32</v>
      </c>
      <c r="AQ55" s="5">
        <v>30871.32</v>
      </c>
      <c r="AR55" s="5">
        <v>5556.84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/>
      <c r="AY55" s="5"/>
      <c r="AZ55" s="5"/>
      <c r="BA55" s="5">
        <v>30871.32</v>
      </c>
      <c r="BB55" s="5">
        <v>2006.64</v>
      </c>
      <c r="BC55" s="5">
        <v>0</v>
      </c>
      <c r="BD55" s="5">
        <v>25314.48</v>
      </c>
      <c r="BE55" s="5">
        <v>164.54</v>
      </c>
      <c r="BF55" s="5">
        <v>0</v>
      </c>
      <c r="BG55" s="5">
        <v>25314.48</v>
      </c>
      <c r="BH55" s="5">
        <v>759.43</v>
      </c>
      <c r="BI55" s="5">
        <v>0</v>
      </c>
      <c r="BJ55" s="5">
        <v>0</v>
      </c>
      <c r="BK55" s="5">
        <v>0</v>
      </c>
      <c r="BL55" s="3" t="s">
        <v>49</v>
      </c>
      <c r="BM55" s="3"/>
      <c r="BN55" s="3" t="s">
        <v>166</v>
      </c>
      <c r="BO55" s="3" t="s">
        <v>51</v>
      </c>
      <c r="BP55" s="3" t="s">
        <v>441</v>
      </c>
      <c r="BQ55" s="6">
        <v>46686</v>
      </c>
    </row>
    <row r="56" spans="1:69" x14ac:dyDescent="0.25">
      <c r="A56" s="11" t="str">
        <f>LEFT([1]!MOVIMENTACOES[[#This Row],[Código]],9)</f>
        <v>090004028</v>
      </c>
      <c r="B56" s="11" t="s">
        <v>149</v>
      </c>
      <c r="C56" s="11" t="str">
        <f>TRIM(IFERROR(LEFT([1]!MOVIMENTACOES[[#This Row],[Descrição]],SEARCH([1]!MOVIMENTACOES[[#This Row],[EMBALAGEM]],[1]!MOVIMENTACOES[[#This Row],[Descrição]],1)-1),[1]!MOVIMENTACOES[[#This Row],[Descrição]]))</f>
        <v>WKPEP WATEREN</v>
      </c>
      <c r="D56" s="11" t="str">
        <f>_xlfn.CONCAT([1]!MOVIMENTACOES[[#This Row],[FABRICANTE]],[1]!MOVIMENTACOES[[#This Row],[DESCRIÇÃO SEM EMBALAGEM]],[1]!MOVIMENTACOES[[#This Row],[Coluna1]])</f>
        <v>WINKEYWKPEP WATEREN1</v>
      </c>
      <c r="E56" s="12">
        <f>_xlfn.XLOOKUP([1]!MOVIMENTACOES[[#This Row],[CONCAT]],'[2]PRICE LIST'!$G:$G,'[2]PRICE LIST'!$Q:$Q,"VERIFICAR",0,1)</f>
        <v>373.23194444444448</v>
      </c>
      <c r="F56" s="13">
        <f>_xlfn.XLOOKUP([1]!MOVIMENTACOES[[#This Row],[Data]],[1]PTAX!A:A,[1]PTAX!C:C,"VERIFICAR",0,1)*[1]!MOVIMENTACOES[[#This Row],[PREÇO DE LISTA DOLAR]]</f>
        <v>2010.0033136111113</v>
      </c>
      <c r="G56" s="14">
        <f>[1]!MOVIMENTACOES[[#This Row],[PREÇO NET]]-[1]!MOVIMENTACOES[[#This Row],[PREÇO DE LISTA REAL]]</f>
        <v>-1151.9793136111111</v>
      </c>
      <c r="H56" s="15">
        <f>-[1]!MOVIMENTACOES[[#This Row],[DESCONTO CONCEDIDO]]/[1]!MOVIMENTACOES[[#This Row],[PREÇO DE LISTA REAL]]</f>
        <v>0.57312309179306764</v>
      </c>
      <c r="I5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858.02400000000011</v>
      </c>
      <c r="J56" s="15">
        <f>VLOOKUP([1]!MOVIMENTACOES[[#This Row],[DESC %]],[1]!DESC[#Data],2,TRUE)</f>
        <v>2.5000000000000001E-3</v>
      </c>
      <c r="K56" s="15">
        <f>_xlfn.XLOOKUP([1]!MOVIMENTACOES[[#This Row],[NF-e]],'[1]PEDIDOS E COMISSOES'!A:A,'[1]PEDIDOS E COMISSOES'!E:E,"VERIFICAR",0,1)</f>
        <v>0</v>
      </c>
      <c r="L56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56" s="16">
        <f>[1]!MOVIMENTACOES[[#This Row],[COMISSÃO FINAL]]*([1]!MOVIMENTACOES[[#This Row],[PREÇO NET]]*[1]!MOVIMENTACOES[[#This Row],[Qtde]])</f>
        <v>21.450600000000005</v>
      </c>
      <c r="N56" s="14" t="str">
        <f>_xlfn.XLOOKUP(LEFT([1]!MOVIMENTACOES[[#This Row],[Código]],3),'[1]BASE DE FABRICANTES'!A:A,'[1]BASE DE FABRICANTES'!B:B,"VERIFICAR",0,1)</f>
        <v>WINKEY</v>
      </c>
      <c r="O56" s="14">
        <f>[1]!MOVIMENTACOES[[#This Row],[PREÇO NET]]*[1]!MOVIMENTACOES[[#This Row],[Qtde]]</f>
        <v>8580.2400000000016</v>
      </c>
      <c r="P56" s="17" t="s">
        <v>442</v>
      </c>
      <c r="Q56" s="17" t="s">
        <v>443</v>
      </c>
      <c r="R56" s="17" t="s">
        <v>49</v>
      </c>
      <c r="S56" s="17" t="s">
        <v>444</v>
      </c>
      <c r="T56" s="18">
        <v>46030</v>
      </c>
      <c r="U56" s="18" t="s">
        <v>436</v>
      </c>
      <c r="V56" s="17" t="s">
        <v>91</v>
      </c>
      <c r="W56" s="17"/>
      <c r="X56" s="17"/>
      <c r="Y56" s="17" t="s">
        <v>437</v>
      </c>
      <c r="Z56" s="17" t="s">
        <v>438</v>
      </c>
      <c r="AA56" s="17" t="s">
        <v>439</v>
      </c>
      <c r="AB56" s="17"/>
      <c r="AC56" s="17" t="s">
        <v>440</v>
      </c>
      <c r="AD56" s="17" t="s">
        <v>445</v>
      </c>
      <c r="AE56" s="17" t="s">
        <v>44</v>
      </c>
      <c r="AF56" s="17" t="s">
        <v>45</v>
      </c>
      <c r="AG56" s="17" t="s">
        <v>46</v>
      </c>
      <c r="AH56" s="17" t="s">
        <v>47</v>
      </c>
      <c r="AI56" s="17" t="s">
        <v>48</v>
      </c>
      <c r="AJ56" s="19">
        <v>10</v>
      </c>
      <c r="AK56" s="19">
        <v>0</v>
      </c>
      <c r="AL56" s="19">
        <v>0</v>
      </c>
      <c r="AM56" s="20">
        <v>370.06494664079997</v>
      </c>
      <c r="AN56" s="20">
        <v>1086.01</v>
      </c>
      <c r="AO56" s="20">
        <v>3700.6494664080001</v>
      </c>
      <c r="AP56" s="20">
        <v>10860.1</v>
      </c>
      <c r="AQ56" s="20">
        <v>10860.1</v>
      </c>
      <c r="AR56" s="20">
        <v>1954.82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/>
      <c r="AY56" s="20"/>
      <c r="AZ56" s="20"/>
      <c r="BA56" s="20">
        <v>0</v>
      </c>
      <c r="BB56" s="20">
        <v>0</v>
      </c>
      <c r="BC56" s="20">
        <v>0</v>
      </c>
      <c r="BD56" s="20">
        <v>8905.2800000000007</v>
      </c>
      <c r="BE56" s="20">
        <v>57.88</v>
      </c>
      <c r="BF56" s="20">
        <v>0</v>
      </c>
      <c r="BG56" s="20">
        <v>8905.2800000000007</v>
      </c>
      <c r="BH56" s="20">
        <v>267.16000000000003</v>
      </c>
      <c r="BI56" s="20">
        <v>0</v>
      </c>
      <c r="BJ56" s="20">
        <v>0</v>
      </c>
      <c r="BK56" s="20">
        <v>0</v>
      </c>
      <c r="BL56" s="17" t="s">
        <v>49</v>
      </c>
      <c r="BM56" s="17"/>
      <c r="BN56" s="17" t="s">
        <v>166</v>
      </c>
      <c r="BO56" s="17" t="s">
        <v>51</v>
      </c>
      <c r="BP56" s="17" t="s">
        <v>446</v>
      </c>
      <c r="BQ56" s="18">
        <v>46494</v>
      </c>
    </row>
    <row r="57" spans="1:69" x14ac:dyDescent="0.25">
      <c r="A57" s="11" t="str">
        <f>LEFT([1]!MOVIMENTACOES[[#This Row],[Código]],9)</f>
        <v>002004121</v>
      </c>
      <c r="B57" s="11" t="s">
        <v>99</v>
      </c>
      <c r="C57" s="11" t="str">
        <f>TRIM(IFERROR(LEFT([1]!MOVIMENTACOES[[#This Row],[Descrição]],SEARCH([1]!MOVIMENTACOES[[#This Row],[EMBALAGEM]],[1]!MOVIMENTACOES[[#This Row],[Descrição]],1)-1),[1]!MOVIMENTACOES[[#This Row],[Descrição]]))</f>
        <v>CENTELLA PHYTO-EXOSOME</v>
      </c>
      <c r="D57" s="11" t="str">
        <f>_xlfn.CONCAT([1]!MOVIMENTACOES[[#This Row],[FABRICANTE]],[1]!MOVIMENTACOES[[#This Row],[DESCRIÇÃO SEM EMBALAGEM]],[1]!MOVIMENTACOES[[#This Row],[Coluna1]])</f>
        <v>BIOLANDCENTELLA PHYTO-EXOSOME5</v>
      </c>
      <c r="E57" s="12">
        <f>_xlfn.XLOOKUP([1]!MOVIMENTACOES[[#This Row],[CONCAT]],'[2]PRICE LIST'!$G:$G,'[2]PRICE LIST'!$Q:$Q,"VERIFICAR",0,1)</f>
        <v>638.42850499999997</v>
      </c>
      <c r="F57" s="13">
        <f>_xlfn.XLOOKUP([1]!MOVIMENTACOES[[#This Row],[Data]],[1]PTAX!A:A,[1]PTAX!C:C,"VERIFICAR",0,1)*[1]!MOVIMENTACOES[[#This Row],[PREÇO DE LISTA DOLAR]]</f>
        <v>3438.1928708269998</v>
      </c>
      <c r="G57" s="14">
        <f>[1]!MOVIMENTACOES[[#This Row],[PREÇO NET]]-[1]!MOVIMENTACOES[[#This Row],[PREÇO DE LISTA REAL]]</f>
        <v>-692.5338708270001</v>
      </c>
      <c r="H57" s="15">
        <f>-[1]!MOVIMENTACOES[[#This Row],[DESCONTO CONCEDIDO]]/[1]!MOVIMENTACOES[[#This Row],[PREÇO DE LISTA REAL]]</f>
        <v>0.20142379931711704</v>
      </c>
      <c r="I5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2745.6589999999997</v>
      </c>
      <c r="J57" s="15">
        <f>VLOOKUP([1]!MOVIMENTACOES[[#This Row],[DESC %]],[1]!DESC[#Data],2,TRUE)</f>
        <v>2.5000000000000001E-3</v>
      </c>
      <c r="K57" s="15">
        <f>_xlfn.XLOOKUP([1]!MOVIMENTACOES[[#This Row],[NF-e]],'[1]PEDIDOS E COMISSOES'!A:A,'[1]PEDIDOS E COMISSOES'!E:E,"VERIFICAR",0,1)</f>
        <v>0</v>
      </c>
      <c r="L57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57" s="16">
        <f>[1]!MOVIMENTACOES[[#This Row],[COMISSÃO FINAL]]*([1]!MOVIMENTACOES[[#This Row],[PREÇO NET]]*[1]!MOVIMENTACOES[[#This Row],[Qtde]])</f>
        <v>68.641475</v>
      </c>
      <c r="N57" s="14" t="str">
        <f>_xlfn.XLOOKUP(LEFT([1]!MOVIMENTACOES[[#This Row],[Código]],3),'[1]BASE DE FABRICANTES'!A:A,'[1]BASE DE FABRICANTES'!B:B,"VERIFICAR",0,1)</f>
        <v>BIOLAND</v>
      </c>
      <c r="O57" s="14">
        <f>[1]!MOVIMENTACOES[[#This Row],[PREÇO NET]]*[1]!MOVIMENTACOES[[#This Row],[Qtde]]</f>
        <v>27456.589999999997</v>
      </c>
      <c r="P57" s="3" t="s">
        <v>447</v>
      </c>
      <c r="Q57" s="3" t="s">
        <v>448</v>
      </c>
      <c r="R57" s="3" t="s">
        <v>49</v>
      </c>
      <c r="S57" s="3" t="s">
        <v>89</v>
      </c>
      <c r="T57" s="6">
        <v>46030</v>
      </c>
      <c r="U57" s="6" t="s">
        <v>436</v>
      </c>
      <c r="V57" s="3" t="s">
        <v>91</v>
      </c>
      <c r="W57" s="3"/>
      <c r="X57" s="3"/>
      <c r="Y57" s="3" t="s">
        <v>437</v>
      </c>
      <c r="Z57" s="3" t="s">
        <v>438</v>
      </c>
      <c r="AA57" s="3" t="s">
        <v>439</v>
      </c>
      <c r="AB57" s="3"/>
      <c r="AC57" s="3" t="s">
        <v>440</v>
      </c>
      <c r="AD57" s="3" t="s">
        <v>43</v>
      </c>
      <c r="AE57" s="3" t="s">
        <v>44</v>
      </c>
      <c r="AF57" s="3" t="s">
        <v>45</v>
      </c>
      <c r="AG57" s="3" t="s">
        <v>46</v>
      </c>
      <c r="AH57" s="3" t="s">
        <v>47</v>
      </c>
      <c r="AI57" s="3" t="s">
        <v>48</v>
      </c>
      <c r="AJ57" s="4">
        <v>10</v>
      </c>
      <c r="AK57" s="4">
        <v>0</v>
      </c>
      <c r="AL57" s="4">
        <v>0</v>
      </c>
      <c r="AM57" s="5">
        <v>1251.7418504363</v>
      </c>
      <c r="AN57" s="5">
        <v>3475.21</v>
      </c>
      <c r="AO57" s="5">
        <v>12517.418504363</v>
      </c>
      <c r="AP57" s="5">
        <v>34752.1</v>
      </c>
      <c r="AQ57" s="5">
        <v>34752.1</v>
      </c>
      <c r="AR57" s="5">
        <v>6255.38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/>
      <c r="AY57" s="5"/>
      <c r="AZ57" s="5"/>
      <c r="BA57" s="5">
        <v>34752.1</v>
      </c>
      <c r="BB57" s="5">
        <v>2258.89</v>
      </c>
      <c r="BC57" s="5">
        <v>0</v>
      </c>
      <c r="BD57" s="5">
        <v>28496.720000000001</v>
      </c>
      <c r="BE57" s="5">
        <v>185.23</v>
      </c>
      <c r="BF57" s="5">
        <v>0</v>
      </c>
      <c r="BG57" s="5">
        <v>28496.720000000001</v>
      </c>
      <c r="BH57" s="5">
        <v>854.9</v>
      </c>
      <c r="BI57" s="5">
        <v>0</v>
      </c>
      <c r="BJ57" s="5">
        <v>0</v>
      </c>
      <c r="BK57" s="5">
        <v>0</v>
      </c>
      <c r="BL57" s="3" t="s">
        <v>49</v>
      </c>
      <c r="BM57" s="3"/>
      <c r="BN57" s="3" t="s">
        <v>166</v>
      </c>
      <c r="BO57" s="3" t="s">
        <v>51</v>
      </c>
      <c r="BP57" s="3" t="s">
        <v>449</v>
      </c>
      <c r="BQ57" s="6">
        <v>46602</v>
      </c>
    </row>
    <row r="58" spans="1:69" x14ac:dyDescent="0.25">
      <c r="A58" s="11" t="str">
        <f>LEFT([1]!MOVIMENTACOES[[#This Row],[Código]],9)</f>
        <v>002004118</v>
      </c>
      <c r="B58" s="11" t="s">
        <v>99</v>
      </c>
      <c r="C58" s="11" t="str">
        <f>TRIM(IFERROR(LEFT([1]!MOVIMENTACOES[[#This Row],[Descrição]],SEARCH([1]!MOVIMENTACOES[[#This Row],[EMBALAGEM]],[1]!MOVIMENTACOES[[#This Row],[Descrição]],1)-1),[1]!MOVIMENTACOES[[#This Row],[Descrição]]))</f>
        <v>GXHA</v>
      </c>
      <c r="D58" s="11" t="str">
        <f>_xlfn.CONCAT([1]!MOVIMENTACOES[[#This Row],[FABRICANTE]],[1]!MOVIMENTACOES[[#This Row],[DESCRIÇÃO SEM EMBALAGEM]],[1]!MOVIMENTACOES[[#This Row],[Coluna1]])</f>
        <v>BIOLANDGXHA5</v>
      </c>
      <c r="E58" s="21">
        <f>_xlfn.XLOOKUP([1]!MOVIMENTACOES[[#This Row],[CONCAT]],'[2]PRICE LIST'!$G:$G,'[2]PRICE LIST'!$Q:$Q,"VERIFICAR",0,1)</f>
        <v>319.15533649999998</v>
      </c>
      <c r="F58" s="13">
        <f>_xlfn.XLOOKUP([1]!MOVIMENTACOES[[#This Row],[Data]],[1]PTAX!A:A,[1]PTAX!C:C,"VERIFICAR",0,1)*[1]!MOVIMENTACOES[[#This Row],[PREÇO DE LISTA DOLAR]]</f>
        <v>1718.7791491870998</v>
      </c>
      <c r="G58" s="14">
        <f>[1]!MOVIMENTACOES[[#This Row],[PREÇO NET]]-[1]!MOVIMENTACOES[[#This Row],[PREÇO DE LISTA REAL]]</f>
        <v>-746.37714918710003</v>
      </c>
      <c r="H58" s="15">
        <f>-[1]!MOVIMENTACOES[[#This Row],[DESCONTO CONCEDIDO]]/[1]!MOVIMENTACOES[[#This Row],[PREÇO DE LISTA REAL]]</f>
        <v>0.43424843124266466</v>
      </c>
      <c r="I5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972.40199999999982</v>
      </c>
      <c r="J58" s="15">
        <f>VLOOKUP([1]!MOVIMENTACOES[[#This Row],[DESC %]],[1]!DESC[#Data],2,TRUE)</f>
        <v>2.5000000000000001E-3</v>
      </c>
      <c r="K58" s="15">
        <f>_xlfn.XLOOKUP([1]!MOVIMENTACOES[[#This Row],[NF-e]],'[1]PEDIDOS E COMISSOES'!A:A,'[1]PEDIDOS E COMISSOES'!E:E,"VERIFICAR",0,1)</f>
        <v>0</v>
      </c>
      <c r="L58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58" s="16">
        <f>[1]!MOVIMENTACOES[[#This Row],[COMISSÃO FINAL]]*([1]!MOVIMENTACOES[[#This Row],[PREÇO NET]]*[1]!MOVIMENTACOES[[#This Row],[Qtde]])</f>
        <v>12.155024999999998</v>
      </c>
      <c r="N58" s="14" t="str">
        <f>_xlfn.XLOOKUP(LEFT([1]!MOVIMENTACOES[[#This Row],[Código]],3),'[1]BASE DE FABRICANTES'!A:A,'[1]BASE DE FABRICANTES'!B:B,"VERIFICAR",0,1)</f>
        <v>BIOLAND</v>
      </c>
      <c r="O58" s="14">
        <f>[1]!MOVIMENTACOES[[#This Row],[PREÇO NET]]*[1]!MOVIMENTACOES[[#This Row],[Qtde]]</f>
        <v>4862.0099999999993</v>
      </c>
      <c r="P58" s="17" t="s">
        <v>450</v>
      </c>
      <c r="Q58" s="17" t="s">
        <v>451</v>
      </c>
      <c r="R58" s="17" t="s">
        <v>49</v>
      </c>
      <c r="S58" s="17" t="s">
        <v>89</v>
      </c>
      <c r="T58" s="18">
        <v>46030</v>
      </c>
      <c r="U58" s="18" t="s">
        <v>436</v>
      </c>
      <c r="V58" s="17" t="s">
        <v>91</v>
      </c>
      <c r="W58" s="17" t="s">
        <v>452</v>
      </c>
      <c r="X58" s="17" t="s">
        <v>453</v>
      </c>
      <c r="Y58" s="17" t="s">
        <v>437</v>
      </c>
      <c r="Z58" s="17" t="s">
        <v>438</v>
      </c>
      <c r="AA58" s="17" t="s">
        <v>439</v>
      </c>
      <c r="AB58" s="17"/>
      <c r="AC58" s="17" t="s">
        <v>440</v>
      </c>
      <c r="AD58" s="17"/>
      <c r="AE58" s="17" t="s">
        <v>44</v>
      </c>
      <c r="AF58" s="17" t="s">
        <v>45</v>
      </c>
      <c r="AG58" s="17" t="s">
        <v>46</v>
      </c>
      <c r="AH58" s="17" t="s">
        <v>47</v>
      </c>
      <c r="AI58" s="17" t="s">
        <v>48</v>
      </c>
      <c r="AJ58" s="19">
        <v>5</v>
      </c>
      <c r="AK58" s="19">
        <v>0</v>
      </c>
      <c r="AL58" s="19">
        <v>0</v>
      </c>
      <c r="AM58" s="20">
        <v>425.38548977400001</v>
      </c>
      <c r="AN58" s="20">
        <v>1230.78</v>
      </c>
      <c r="AO58" s="20">
        <v>2126.9274488699998</v>
      </c>
      <c r="AP58" s="20">
        <v>6153.9</v>
      </c>
      <c r="AQ58" s="20">
        <v>6153.9</v>
      </c>
      <c r="AR58" s="20">
        <v>1107.7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/>
      <c r="AY58" s="20"/>
      <c r="AZ58" s="20"/>
      <c r="BA58" s="20">
        <v>6153.9</v>
      </c>
      <c r="BB58" s="20">
        <v>400</v>
      </c>
      <c r="BC58" s="20">
        <v>0</v>
      </c>
      <c r="BD58" s="20">
        <v>5046.2</v>
      </c>
      <c r="BE58" s="20">
        <v>32.799999999999997</v>
      </c>
      <c r="BF58" s="20">
        <v>0</v>
      </c>
      <c r="BG58" s="20">
        <v>5046.2</v>
      </c>
      <c r="BH58" s="20">
        <v>151.38999999999999</v>
      </c>
      <c r="BI58" s="20">
        <v>0</v>
      </c>
      <c r="BJ58" s="20">
        <v>0</v>
      </c>
      <c r="BK58" s="20">
        <v>0</v>
      </c>
      <c r="BL58" s="17" t="s">
        <v>49</v>
      </c>
      <c r="BM58" s="17"/>
      <c r="BN58" s="17" t="s">
        <v>166</v>
      </c>
      <c r="BO58" s="17" t="s">
        <v>51</v>
      </c>
      <c r="BP58" s="17" t="s">
        <v>454</v>
      </c>
      <c r="BQ58" s="18">
        <v>46707</v>
      </c>
    </row>
    <row r="59" spans="1:69" x14ac:dyDescent="0.25">
      <c r="A59" s="11" t="str">
        <f>LEFT([1]!MOVIMENTACOES[[#This Row],[Código]],9)</f>
        <v>030004010</v>
      </c>
      <c r="B59" s="11" t="s">
        <v>149</v>
      </c>
      <c r="C59" s="11" t="str">
        <f>TRIM(IFERROR(LEFT([1]!MOVIMENTACOES[[#This Row],[Descrição]],SEARCH([1]!MOVIMENTACOES[[#This Row],[EMBALAGEM]],[1]!MOVIMENTACOES[[#This Row],[Descrição]],1)-1),[1]!MOVIMENTACOES[[#This Row],[Descrição]]))</f>
        <v>ASCORBYL GLUCOSIDE</v>
      </c>
      <c r="D59" s="11" t="str">
        <f>_xlfn.CONCAT([1]!MOVIMENTACOES[[#This Row],[FABRICANTE]],[1]!MOVIMENTACOES[[#This Row],[DESCRIÇÃO SEM EMBALAGEM]],[1]!MOVIMENTACOES[[#This Row],[Coluna1]])</f>
        <v>SPEC CHEMASCORBYL GLUCOSIDE1</v>
      </c>
      <c r="E59" s="12">
        <f>_xlfn.XLOOKUP([1]!MOVIMENTACOES[[#This Row],[CONCAT]],'[2]PRICE LIST'!$G:$G,'[2]PRICE LIST'!$Q:$Q,"VERIFICAR",0,1)</f>
        <v>557.22499999999991</v>
      </c>
      <c r="F59" s="13">
        <f>_xlfn.XLOOKUP([1]!MOVIMENTACOES[[#This Row],[Data]],[1]PTAX!A:A,[1]PTAX!C:C,"VERIFICAR",0,1)*[1]!MOVIMENTACOES[[#This Row],[PREÇO DE LISTA DOLAR]]</f>
        <v>3000.8795149999992</v>
      </c>
      <c r="G59" s="14">
        <f>[1]!MOVIMENTACOES[[#This Row],[PREÇO NET]]-[1]!MOVIMENTACOES[[#This Row],[PREÇO DE LISTA REAL]]</f>
        <v>-538.20451499999854</v>
      </c>
      <c r="H59" s="15">
        <f>-[1]!MOVIMENTACOES[[#This Row],[DESCONTO CONCEDIDO]]/[1]!MOVIMENTACOES[[#This Row],[PREÇO DE LISTA REAL]]</f>
        <v>0.17934892497674926</v>
      </c>
      <c r="I5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2462.6750000000006</v>
      </c>
      <c r="J59" s="15">
        <f>VLOOKUP([1]!MOVIMENTACOES[[#This Row],[DESC %]],[1]!DESC[#Data],2,TRUE)</f>
        <v>4.0000000000000001E-3</v>
      </c>
      <c r="K59" s="15">
        <f>_xlfn.XLOOKUP([1]!MOVIMENTACOES[[#This Row],[NF-e]],'[1]PEDIDOS E COMISSOES'!A:A,'[1]PEDIDOS E COMISSOES'!E:E,"VERIFICAR",0,1)</f>
        <v>0</v>
      </c>
      <c r="L59" s="15">
        <f>IF([1]!MOVIMENTACOES[[#This Row],[PERCENTUAL DE COMISSÕES]]+[1]!MOVIMENTACOES[[#This Row],[AJUSTE COMISSÃO]]&lt;0.06%,0.05%,[1]!MOVIMENTACOES[[#This Row],[PERCENTUAL DE COMISSÕES]]+[1]!MOVIMENTACOES[[#This Row],[AJUSTE COMISSÃO]])</f>
        <v>4.0000000000000001E-3</v>
      </c>
      <c r="M59" s="16">
        <f>[1]!MOVIMENTACOES[[#This Row],[COMISSÃO FINAL]]*([1]!MOVIMENTACOES[[#This Row],[PREÇO NET]]*[1]!MOVIMENTACOES[[#This Row],[Qtde]])</f>
        <v>19.701400000000007</v>
      </c>
      <c r="N59" s="14" t="str">
        <f>_xlfn.XLOOKUP(LEFT([1]!MOVIMENTACOES[[#This Row],[Código]],3),'[1]BASE DE FABRICANTES'!A:A,'[1]BASE DE FABRICANTES'!B:B,"VERIFICAR",0,1)</f>
        <v>SPEC CHEM</v>
      </c>
      <c r="O59" s="14">
        <f>[1]!MOVIMENTACOES[[#This Row],[PREÇO NET]]*[1]!MOVIMENTACOES[[#This Row],[Qtde]]</f>
        <v>4925.3500000000013</v>
      </c>
      <c r="P59" s="3" t="s">
        <v>455</v>
      </c>
      <c r="Q59" s="3" t="s">
        <v>456</v>
      </c>
      <c r="R59" s="3" t="s">
        <v>49</v>
      </c>
      <c r="S59" s="3" t="s">
        <v>129</v>
      </c>
      <c r="T59" s="6">
        <v>46030</v>
      </c>
      <c r="U59" s="6" t="s">
        <v>457</v>
      </c>
      <c r="V59" s="3" t="s">
        <v>91</v>
      </c>
      <c r="W59" s="3"/>
      <c r="X59" s="3"/>
      <c r="Y59" s="3" t="s">
        <v>458</v>
      </c>
      <c r="Z59" s="3" t="s">
        <v>459</v>
      </c>
      <c r="AA59" s="3" t="s">
        <v>460</v>
      </c>
      <c r="AB59" s="3"/>
      <c r="AC59" s="3" t="s">
        <v>461</v>
      </c>
      <c r="AD59" s="3" t="s">
        <v>165</v>
      </c>
      <c r="AE59" s="3" t="s">
        <v>44</v>
      </c>
      <c r="AF59" s="3" t="s">
        <v>45</v>
      </c>
      <c r="AG59" s="3" t="s">
        <v>46</v>
      </c>
      <c r="AH59" s="3" t="s">
        <v>339</v>
      </c>
      <c r="AI59" s="3" t="s">
        <v>110</v>
      </c>
      <c r="AJ59" s="4">
        <v>2</v>
      </c>
      <c r="AK59" s="4">
        <v>32</v>
      </c>
      <c r="AL59" s="4">
        <v>0</v>
      </c>
      <c r="AM59" s="5">
        <v>922.40555941050002</v>
      </c>
      <c r="AN59" s="5">
        <v>2904.51</v>
      </c>
      <c r="AO59" s="5">
        <v>1844.811118821</v>
      </c>
      <c r="AP59" s="5">
        <v>5809.02</v>
      </c>
      <c r="AQ59" s="5">
        <v>5809.02</v>
      </c>
      <c r="AR59" s="5">
        <v>697.08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/>
      <c r="AY59" s="5"/>
      <c r="AZ59" s="5"/>
      <c r="BA59" s="5">
        <v>0</v>
      </c>
      <c r="BB59" s="5">
        <v>0</v>
      </c>
      <c r="BC59" s="5">
        <v>0</v>
      </c>
      <c r="BD59" s="5">
        <v>5111.9399999999996</v>
      </c>
      <c r="BE59" s="5">
        <v>33.229999999999997</v>
      </c>
      <c r="BF59" s="5">
        <v>0</v>
      </c>
      <c r="BG59" s="5">
        <v>5111.9399999999996</v>
      </c>
      <c r="BH59" s="5">
        <v>153.36000000000001</v>
      </c>
      <c r="BI59" s="5">
        <v>0</v>
      </c>
      <c r="BJ59" s="5">
        <v>0</v>
      </c>
      <c r="BK59" s="5">
        <v>0</v>
      </c>
      <c r="BL59" s="3" t="s">
        <v>49</v>
      </c>
      <c r="BM59" s="3"/>
      <c r="BN59" s="3" t="s">
        <v>50</v>
      </c>
      <c r="BO59" s="3" t="s">
        <v>51</v>
      </c>
      <c r="BP59" s="3" t="s">
        <v>462</v>
      </c>
      <c r="BQ59" s="6">
        <v>46603</v>
      </c>
    </row>
    <row r="60" spans="1:69" x14ac:dyDescent="0.25">
      <c r="A60" s="11" t="str">
        <f>LEFT([1]!MOVIMENTACOES[[#This Row],[Código]],9)</f>
        <v>001004079</v>
      </c>
      <c r="B60" s="11" t="s">
        <v>149</v>
      </c>
      <c r="C60" s="11" t="str">
        <f>TRIM(IFERROR(LEFT([1]!MOVIMENTACOES[[#This Row],[Descrição]],SEARCH([1]!MOVIMENTACOES[[#This Row],[EMBALAGEM]],[1]!MOVIMENTACOES[[#This Row],[Descrição]],1)-1),[1]!MOVIMENTACOES[[#This Row],[Descrição]]))</f>
        <v>CYBRIGHT GP</v>
      </c>
      <c r="D60" s="11" t="str">
        <f>_xlfn.CONCAT([1]!MOVIMENTACOES[[#This Row],[FABRICANTE]],[1]!MOVIMENTACOES[[#This Row],[DESCRIÇÃO SEM EMBALAGEM]],[1]!MOVIMENTACOES[[#This Row],[Coluna1]])</f>
        <v>CODIFCYBRIGHT GP1</v>
      </c>
      <c r="E60" s="12">
        <f>_xlfn.XLOOKUP([1]!MOVIMENTACOES[[#This Row],[CONCAT]],'[2]PRICE LIST'!$G:$G,'[2]PRICE LIST'!$Q:$Q,"VERIFICAR",0,1)</f>
        <v>171.01692549999996</v>
      </c>
      <c r="F60" s="13">
        <f>_xlfn.XLOOKUP([1]!MOVIMENTACOES[[#This Row],[Data]],[1]PTAX!A:A,[1]PTAX!C:C,"VERIFICAR",0,1)*[1]!MOVIMENTACOES[[#This Row],[PREÇO DE LISTA DOLAR]]</f>
        <v>920.99455058769968</v>
      </c>
      <c r="G60" s="14">
        <f>[1]!MOVIMENTACOES[[#This Row],[PREÇO NET]]-[1]!MOVIMENTACOES[[#This Row],[PREÇO DE LISTA REAL]]</f>
        <v>221.33544941230025</v>
      </c>
      <c r="H60" s="15">
        <f>-[1]!MOVIMENTACOES[[#This Row],[DESCONTO CONCEDIDO]]/[1]!MOVIMENTACOES[[#This Row],[PREÇO DE LISTA REAL]]</f>
        <v>-0.24032221392739292</v>
      </c>
      <c r="I6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1142.33</v>
      </c>
      <c r="J60" s="15">
        <f>VLOOKUP([1]!MOVIMENTACOES[[#This Row],[DESC %]],[1]!DESC[#Data],2,TRUE)</f>
        <v>0.01</v>
      </c>
      <c r="K60" s="15">
        <f>_xlfn.XLOOKUP([1]!MOVIMENTACOES[[#This Row],[NF-e]],'[1]PEDIDOS E COMISSOES'!A:A,'[1]PEDIDOS E COMISSOES'!E:E,"VERIFICAR",0,1)</f>
        <v>2E-3</v>
      </c>
      <c r="L60" s="15">
        <f>IF([1]!MOVIMENTACOES[[#This Row],[PERCENTUAL DE COMISSÕES]]+[1]!MOVIMENTACOES[[#This Row],[AJUSTE COMISSÃO]]&lt;0.06%,0.05%,[1]!MOVIMENTACOES[[#This Row],[PERCENTUAL DE COMISSÕES]]+[1]!MOVIMENTACOES[[#This Row],[AJUSTE COMISSÃO]])</f>
        <v>1.2E-2</v>
      </c>
      <c r="M60" s="16">
        <f>[1]!MOVIMENTACOES[[#This Row],[COMISSÃO FINAL]]*([1]!MOVIMENTACOES[[#This Row],[PREÇO NET]]*[1]!MOVIMENTACOES[[#This Row],[Qtde]])</f>
        <v>13.70796</v>
      </c>
      <c r="N60" s="14" t="str">
        <f>_xlfn.XLOOKUP(LEFT([1]!MOVIMENTACOES[[#This Row],[Código]],3),'[1]BASE DE FABRICANTES'!A:A,'[1]BASE DE FABRICANTES'!B:B,"VERIFICAR",0,1)</f>
        <v>CODIF</v>
      </c>
      <c r="O60" s="14">
        <f>[1]!MOVIMENTACOES[[#This Row],[PREÇO NET]]*[1]!MOVIMENTACOES[[#This Row],[Qtde]]</f>
        <v>1142.33</v>
      </c>
      <c r="P60" s="17" t="s">
        <v>168</v>
      </c>
      <c r="Q60" s="17" t="s">
        <v>169</v>
      </c>
      <c r="R60" s="17" t="s">
        <v>49</v>
      </c>
      <c r="S60" s="17" t="s">
        <v>120</v>
      </c>
      <c r="T60" s="18">
        <v>46030</v>
      </c>
      <c r="U60" s="18" t="s">
        <v>463</v>
      </c>
      <c r="V60" s="17" t="s">
        <v>91</v>
      </c>
      <c r="W60" s="17"/>
      <c r="X60" s="17"/>
      <c r="Y60" s="17" t="s">
        <v>464</v>
      </c>
      <c r="Z60" s="17" t="s">
        <v>465</v>
      </c>
      <c r="AA60" s="17" t="s">
        <v>466</v>
      </c>
      <c r="AB60" s="17"/>
      <c r="AC60" s="17" t="s">
        <v>467</v>
      </c>
      <c r="AD60" s="17" t="s">
        <v>125</v>
      </c>
      <c r="AE60" s="17" t="s">
        <v>44</v>
      </c>
      <c r="AF60" s="17" t="s">
        <v>45</v>
      </c>
      <c r="AG60" s="17" t="s">
        <v>46</v>
      </c>
      <c r="AH60" s="17" t="s">
        <v>213</v>
      </c>
      <c r="AI60" s="17" t="s">
        <v>110</v>
      </c>
      <c r="AJ60" s="19">
        <v>1</v>
      </c>
      <c r="AK60" s="19">
        <v>89</v>
      </c>
      <c r="AL60" s="19">
        <v>0</v>
      </c>
      <c r="AM60" s="20">
        <v>309.56927233829998</v>
      </c>
      <c r="AN60" s="20">
        <v>1235.01</v>
      </c>
      <c r="AO60" s="20">
        <v>309.56927233829998</v>
      </c>
      <c r="AP60" s="20">
        <v>1235.01</v>
      </c>
      <c r="AQ60" s="20">
        <v>1235.01</v>
      </c>
      <c r="AR60" s="20">
        <v>49.4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/>
      <c r="AY60" s="20"/>
      <c r="AZ60" s="20"/>
      <c r="BA60" s="20">
        <v>0</v>
      </c>
      <c r="BB60" s="20">
        <v>0</v>
      </c>
      <c r="BC60" s="20">
        <v>0</v>
      </c>
      <c r="BD60" s="20">
        <v>1185.6099999999999</v>
      </c>
      <c r="BE60" s="20">
        <v>7.71</v>
      </c>
      <c r="BF60" s="20">
        <v>0</v>
      </c>
      <c r="BG60" s="20">
        <v>1185.6099999999999</v>
      </c>
      <c r="BH60" s="20">
        <v>35.57</v>
      </c>
      <c r="BI60" s="20">
        <v>0</v>
      </c>
      <c r="BJ60" s="20">
        <v>0</v>
      </c>
      <c r="BK60" s="20">
        <v>0</v>
      </c>
      <c r="BL60" s="17" t="s">
        <v>49</v>
      </c>
      <c r="BM60" s="17"/>
      <c r="BN60" s="17" t="s">
        <v>228</v>
      </c>
      <c r="BO60" s="17" t="s">
        <v>51</v>
      </c>
      <c r="BP60" s="17" t="s">
        <v>468</v>
      </c>
      <c r="BQ60" s="18">
        <v>46958</v>
      </c>
    </row>
    <row r="61" spans="1:69" x14ac:dyDescent="0.25">
      <c r="A61" s="11" t="str">
        <f>LEFT([1]!MOVIMENTACOES[[#This Row],[Código]],9)</f>
        <v>090004058</v>
      </c>
      <c r="B61" s="11" t="s">
        <v>149</v>
      </c>
      <c r="C61" s="11" t="str">
        <f>TRIM(IFERROR(LEFT([1]!MOVIMENTACOES[[#This Row],[Descrição]],SEARCH([1]!MOVIMENTACOES[[#This Row],[EMBALAGEM]],[1]!MOVIMENTACOES[[#This Row],[Descrição]],1)-1),[1]!MOVIMENTACOES[[#This Row],[Descrição]]))</f>
        <v>WINPEP DECATIDE</v>
      </c>
      <c r="D61" s="11" t="str">
        <f>_xlfn.CONCAT([1]!MOVIMENTACOES[[#This Row],[FABRICANTE]],[1]!MOVIMENTACOES[[#This Row],[DESCRIÇÃO SEM EMBALAGEM]],[1]!MOVIMENTACOES[[#This Row],[Coluna1]])</f>
        <v>WINKEYWINPEP DECATIDE1</v>
      </c>
      <c r="E61" s="12">
        <f>_xlfn.XLOOKUP([1]!MOVIMENTACOES[[#This Row],[CONCAT]],'[2]PRICE LIST'!$G:$G,'[2]PRICE LIST'!$Q:$Q,"VERIFICAR",0,1)</f>
        <v>494.40000000000003</v>
      </c>
      <c r="F61" s="13">
        <f>_xlfn.XLOOKUP([1]!MOVIMENTACOES[[#This Row],[Data]],[1]PTAX!A:A,[1]PTAX!C:C,"VERIFICAR",0,1)*[1]!MOVIMENTACOES[[#This Row],[PREÇO DE LISTA DOLAR]]</f>
        <v>2662.5417600000001</v>
      </c>
      <c r="G61" s="14">
        <f>[1]!MOVIMENTACOES[[#This Row],[PREÇO NET]]-[1]!MOVIMENTACOES[[#This Row],[PREÇO DE LISTA REAL]]</f>
        <v>-1289.7317600000001</v>
      </c>
      <c r="H61" s="15">
        <f>-[1]!MOVIMENTACOES[[#This Row],[DESCONTO CONCEDIDO]]/[1]!MOVIMENTACOES[[#This Row],[PREÇO DE LISTA REAL]]</f>
        <v>0.48439869728090201</v>
      </c>
      <c r="I6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1372.81</v>
      </c>
      <c r="J61" s="15">
        <f>VLOOKUP([1]!MOVIMENTACOES[[#This Row],[DESC %]],[1]!DESC[#Data],2,TRUE)</f>
        <v>2.5000000000000001E-3</v>
      </c>
      <c r="K61" s="15">
        <f>_xlfn.XLOOKUP([1]!MOVIMENTACOES[[#This Row],[NF-e]],'[1]PEDIDOS E COMISSOES'!A:A,'[1]PEDIDOS E COMISSOES'!E:E,"VERIFICAR",0,1)</f>
        <v>0</v>
      </c>
      <c r="L61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61" s="16">
        <f>[1]!MOVIMENTACOES[[#This Row],[COMISSÃO FINAL]]*([1]!MOVIMENTACOES[[#This Row],[PREÇO NET]]*[1]!MOVIMENTACOES[[#This Row],[Qtde]])</f>
        <v>30.888224999999998</v>
      </c>
      <c r="N61" s="14" t="str">
        <f>_xlfn.XLOOKUP(LEFT([1]!MOVIMENTACOES[[#This Row],[Código]],3),'[1]BASE DE FABRICANTES'!A:A,'[1]BASE DE FABRICANTES'!B:B,"VERIFICAR",0,1)</f>
        <v>WINKEY</v>
      </c>
      <c r="O61" s="14">
        <f>[1]!MOVIMENTACOES[[#This Row],[PREÇO NET]]*[1]!MOVIMENTACOES[[#This Row],[Qtde]]</f>
        <v>12355.289999999999</v>
      </c>
      <c r="P61" s="3" t="s">
        <v>469</v>
      </c>
      <c r="Q61" s="3" t="s">
        <v>470</v>
      </c>
      <c r="R61" s="3" t="s">
        <v>49</v>
      </c>
      <c r="S61" s="3" t="s">
        <v>444</v>
      </c>
      <c r="T61" s="6">
        <v>46030</v>
      </c>
      <c r="U61" s="6" t="s">
        <v>436</v>
      </c>
      <c r="V61" s="3" t="s">
        <v>91</v>
      </c>
      <c r="W61" s="3"/>
      <c r="X61" s="3"/>
      <c r="Y61" s="3" t="s">
        <v>437</v>
      </c>
      <c r="Z61" s="3" t="s">
        <v>438</v>
      </c>
      <c r="AA61" s="3" t="s">
        <v>439</v>
      </c>
      <c r="AB61" s="3"/>
      <c r="AC61" s="3" t="s">
        <v>440</v>
      </c>
      <c r="AD61" s="3" t="s">
        <v>445</v>
      </c>
      <c r="AE61" s="3" t="s">
        <v>44</v>
      </c>
      <c r="AF61" s="3" t="s">
        <v>45</v>
      </c>
      <c r="AG61" s="3" t="s">
        <v>46</v>
      </c>
      <c r="AH61" s="3" t="s">
        <v>47</v>
      </c>
      <c r="AI61" s="3" t="s">
        <v>48</v>
      </c>
      <c r="AJ61" s="4">
        <v>9</v>
      </c>
      <c r="AK61" s="4">
        <v>21</v>
      </c>
      <c r="AL61" s="4">
        <v>0</v>
      </c>
      <c r="AM61" s="5">
        <v>618.52263935990004</v>
      </c>
      <c r="AN61" s="5">
        <v>1737.58</v>
      </c>
      <c r="AO61" s="5">
        <v>5566.7037542390999</v>
      </c>
      <c r="AP61" s="5">
        <v>15638.22</v>
      </c>
      <c r="AQ61" s="5">
        <v>15638.22</v>
      </c>
      <c r="AR61" s="5">
        <v>2814.88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/>
      <c r="AY61" s="5"/>
      <c r="AZ61" s="5"/>
      <c r="BA61" s="5">
        <v>0</v>
      </c>
      <c r="BB61" s="5">
        <v>0</v>
      </c>
      <c r="BC61" s="5">
        <v>0</v>
      </c>
      <c r="BD61" s="5">
        <v>12823.34</v>
      </c>
      <c r="BE61" s="5">
        <v>83.35</v>
      </c>
      <c r="BF61" s="5">
        <v>0</v>
      </c>
      <c r="BG61" s="5">
        <v>12823.34</v>
      </c>
      <c r="BH61" s="5">
        <v>384.7</v>
      </c>
      <c r="BI61" s="5">
        <v>0</v>
      </c>
      <c r="BJ61" s="5">
        <v>0</v>
      </c>
      <c r="BK61" s="5">
        <v>0</v>
      </c>
      <c r="BL61" s="3" t="s">
        <v>49</v>
      </c>
      <c r="BM61" s="3"/>
      <c r="BN61" s="3" t="s">
        <v>166</v>
      </c>
      <c r="BO61" s="3" t="s">
        <v>51</v>
      </c>
      <c r="BP61" s="3" t="s">
        <v>471</v>
      </c>
      <c r="BQ61" s="6">
        <v>46520</v>
      </c>
    </row>
    <row r="62" spans="1:69" x14ac:dyDescent="0.25">
      <c r="A62" s="11" t="str">
        <f>LEFT([1]!MOVIMENTACOES[[#This Row],[Código]],9)</f>
        <v>090004058</v>
      </c>
      <c r="B62" s="11" t="s">
        <v>149</v>
      </c>
      <c r="C62" s="11" t="str">
        <f>TRIM(IFERROR(LEFT([1]!MOVIMENTACOES[[#This Row],[Descrição]],SEARCH([1]!MOVIMENTACOES[[#This Row],[EMBALAGEM]],[1]!MOVIMENTACOES[[#This Row],[Descrição]],1)-1),[1]!MOVIMENTACOES[[#This Row],[Descrição]]))</f>
        <v>WINPEP DECATIDE</v>
      </c>
      <c r="D62" s="11" t="str">
        <f>_xlfn.CONCAT([1]!MOVIMENTACOES[[#This Row],[FABRICANTE]],[1]!MOVIMENTACOES[[#This Row],[DESCRIÇÃO SEM EMBALAGEM]],[1]!MOVIMENTACOES[[#This Row],[Coluna1]])</f>
        <v>WINKEYWINPEP DECATIDE1</v>
      </c>
      <c r="E62" s="12">
        <f>_xlfn.XLOOKUP([1]!MOVIMENTACOES[[#This Row],[CONCAT]],'[2]PRICE LIST'!$G:$G,'[2]PRICE LIST'!$Q:$Q,"VERIFICAR",0,1)</f>
        <v>494.40000000000003</v>
      </c>
      <c r="F62" s="13">
        <f>_xlfn.XLOOKUP([1]!MOVIMENTACOES[[#This Row],[Data]],[1]PTAX!A:A,[1]PTAX!C:C,"VERIFICAR",0,1)*[1]!MOVIMENTACOES[[#This Row],[PREÇO DE LISTA DOLAR]]</f>
        <v>2662.5417600000001</v>
      </c>
      <c r="G62" s="14">
        <f>[1]!MOVIMENTACOES[[#This Row],[PREÇO NET]]-[1]!MOVIMENTACOES[[#This Row],[PREÇO DE LISTA REAL]]</f>
        <v>-1289.7342599999999</v>
      </c>
      <c r="H62" s="15">
        <f>-[1]!MOVIMENTACOES[[#This Row],[DESCONTO CONCEDIDO]]/[1]!MOVIMENTACOES[[#This Row],[PREÇO DE LISTA REAL]]</f>
        <v>0.48439963623331111</v>
      </c>
      <c r="I6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1372.8075000000001</v>
      </c>
      <c r="J62" s="15">
        <f>VLOOKUP([1]!MOVIMENTACOES[[#This Row],[DESC %]],[1]!DESC[#Data],2,TRUE)</f>
        <v>2.5000000000000001E-3</v>
      </c>
      <c r="K62" s="15">
        <f>_xlfn.XLOOKUP([1]!MOVIMENTACOES[[#This Row],[NF-e]],'[1]PEDIDOS E COMISSOES'!A:A,'[1]PEDIDOS E COMISSOES'!E:E,"VERIFICAR",0,1)</f>
        <v>0</v>
      </c>
      <c r="L62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62" s="16">
        <f>[1]!MOVIMENTACOES[[#This Row],[COMISSÃO FINAL]]*([1]!MOVIMENTACOES[[#This Row],[PREÇO NET]]*[1]!MOVIMENTACOES[[#This Row],[Qtde]])</f>
        <v>13.728075000000002</v>
      </c>
      <c r="N62" s="14" t="str">
        <f>_xlfn.XLOOKUP(LEFT([1]!MOVIMENTACOES[[#This Row],[Código]],3),'[1]BASE DE FABRICANTES'!A:A,'[1]BASE DE FABRICANTES'!B:B,"VERIFICAR",0,1)</f>
        <v>WINKEY</v>
      </c>
      <c r="O62" s="14">
        <f>[1]!MOVIMENTACOES[[#This Row],[PREÇO NET]]*[1]!MOVIMENTACOES[[#This Row],[Qtde]]</f>
        <v>5491.2300000000005</v>
      </c>
      <c r="P62" s="17" t="s">
        <v>469</v>
      </c>
      <c r="Q62" s="17" t="s">
        <v>470</v>
      </c>
      <c r="R62" s="17" t="s">
        <v>49</v>
      </c>
      <c r="S62" s="17" t="s">
        <v>444</v>
      </c>
      <c r="T62" s="18">
        <v>46030</v>
      </c>
      <c r="U62" s="18" t="s">
        <v>436</v>
      </c>
      <c r="V62" s="17" t="s">
        <v>91</v>
      </c>
      <c r="W62" s="17"/>
      <c r="X62" s="17"/>
      <c r="Y62" s="17" t="s">
        <v>437</v>
      </c>
      <c r="Z62" s="17" t="s">
        <v>438</v>
      </c>
      <c r="AA62" s="17" t="s">
        <v>439</v>
      </c>
      <c r="AB62" s="17"/>
      <c r="AC62" s="17" t="s">
        <v>440</v>
      </c>
      <c r="AD62" s="17" t="s">
        <v>445</v>
      </c>
      <c r="AE62" s="17" t="s">
        <v>44</v>
      </c>
      <c r="AF62" s="17" t="s">
        <v>45</v>
      </c>
      <c r="AG62" s="17" t="s">
        <v>46</v>
      </c>
      <c r="AH62" s="17" t="s">
        <v>47</v>
      </c>
      <c r="AI62" s="17" t="s">
        <v>48</v>
      </c>
      <c r="AJ62" s="19">
        <v>4</v>
      </c>
      <c r="AK62" s="19">
        <v>17</v>
      </c>
      <c r="AL62" s="19">
        <v>0</v>
      </c>
      <c r="AM62" s="20">
        <v>618.52263935990004</v>
      </c>
      <c r="AN62" s="20">
        <v>1737.58</v>
      </c>
      <c r="AO62" s="20">
        <v>2474.0905574396002</v>
      </c>
      <c r="AP62" s="20">
        <v>6950.32</v>
      </c>
      <c r="AQ62" s="20">
        <v>6950.32</v>
      </c>
      <c r="AR62" s="20">
        <v>1251.06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/>
      <c r="AY62" s="20"/>
      <c r="AZ62" s="20"/>
      <c r="BA62" s="20">
        <v>0</v>
      </c>
      <c r="BB62" s="20">
        <v>0</v>
      </c>
      <c r="BC62" s="20">
        <v>0</v>
      </c>
      <c r="BD62" s="20">
        <v>5699.26</v>
      </c>
      <c r="BE62" s="20">
        <v>37.049999999999997</v>
      </c>
      <c r="BF62" s="20">
        <v>0</v>
      </c>
      <c r="BG62" s="20">
        <v>5699.26</v>
      </c>
      <c r="BH62" s="20">
        <v>170.98</v>
      </c>
      <c r="BI62" s="20">
        <v>0</v>
      </c>
      <c r="BJ62" s="20">
        <v>0</v>
      </c>
      <c r="BK62" s="20">
        <v>0</v>
      </c>
      <c r="BL62" s="17" t="s">
        <v>49</v>
      </c>
      <c r="BM62" s="17"/>
      <c r="BN62" s="17" t="s">
        <v>166</v>
      </c>
      <c r="BO62" s="17" t="s">
        <v>51</v>
      </c>
      <c r="BP62" s="17" t="s">
        <v>472</v>
      </c>
      <c r="BQ62" s="18">
        <v>46639</v>
      </c>
    </row>
    <row r="63" spans="1:69" x14ac:dyDescent="0.25">
      <c r="A63" s="11" t="str">
        <f>LEFT([1]!MOVIMENTACOES[[#This Row],[Código]],9)</f>
        <v>090004058</v>
      </c>
      <c r="B63" s="11" t="s">
        <v>149</v>
      </c>
      <c r="C63" s="11" t="str">
        <f>TRIM(IFERROR(LEFT([1]!MOVIMENTACOES[[#This Row],[Descrição]],SEARCH([1]!MOVIMENTACOES[[#This Row],[EMBALAGEM]],[1]!MOVIMENTACOES[[#This Row],[Descrição]],1)-1),[1]!MOVIMENTACOES[[#This Row],[Descrição]]))</f>
        <v>WINPEP DECATIDE</v>
      </c>
      <c r="D63" s="11" t="str">
        <f>_xlfn.CONCAT([1]!MOVIMENTACOES[[#This Row],[FABRICANTE]],[1]!MOVIMENTACOES[[#This Row],[DESCRIÇÃO SEM EMBALAGEM]],[1]!MOVIMENTACOES[[#This Row],[Coluna1]])</f>
        <v>WINKEYWINPEP DECATIDE1</v>
      </c>
      <c r="E63" s="12">
        <f>_xlfn.XLOOKUP([1]!MOVIMENTACOES[[#This Row],[CONCAT]],'[2]PRICE LIST'!$G:$G,'[2]PRICE LIST'!$Q:$Q,"VERIFICAR",0,1)</f>
        <v>494.40000000000003</v>
      </c>
      <c r="F63" s="13">
        <f>_xlfn.XLOOKUP([1]!MOVIMENTACOES[[#This Row],[Data]],[1]PTAX!A:A,[1]PTAX!C:C,"VERIFICAR",0,1)*[1]!MOVIMENTACOES[[#This Row],[PREÇO DE LISTA DOLAR]]</f>
        <v>2662.5417600000001</v>
      </c>
      <c r="G63" s="14">
        <f>[1]!MOVIMENTACOES[[#This Row],[PREÇO NET]]-[1]!MOVIMENTACOES[[#This Row],[PREÇO DE LISTA REAL]]</f>
        <v>-1289.7330099999999</v>
      </c>
      <c r="H63" s="15">
        <f>-[1]!MOVIMENTACOES[[#This Row],[DESCONTO CONCEDIDO]]/[1]!MOVIMENTACOES[[#This Row],[PREÇO DE LISTA REAL]]</f>
        <v>0.48439916675710654</v>
      </c>
      <c r="I6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1372.8087500000001</v>
      </c>
      <c r="J63" s="15">
        <f>VLOOKUP([1]!MOVIMENTACOES[[#This Row],[DESC %]],[1]!DESC[#Data],2,TRUE)</f>
        <v>2.5000000000000001E-3</v>
      </c>
      <c r="K63" s="15">
        <f>_xlfn.XLOOKUP([1]!MOVIMENTACOES[[#This Row],[NF-e]],'[1]PEDIDOS E COMISSOES'!A:A,'[1]PEDIDOS E COMISSOES'!E:E,"VERIFICAR",0,1)</f>
        <v>0</v>
      </c>
      <c r="L63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63" s="16">
        <f>[1]!MOVIMENTACOES[[#This Row],[COMISSÃO FINAL]]*([1]!MOVIMENTACOES[[#This Row],[PREÇO NET]]*[1]!MOVIMENTACOES[[#This Row],[Qtde]])</f>
        <v>27.456175000000002</v>
      </c>
      <c r="N63" s="14" t="str">
        <f>_xlfn.XLOOKUP(LEFT([1]!MOVIMENTACOES[[#This Row],[Código]],3),'[1]BASE DE FABRICANTES'!A:A,'[1]BASE DE FABRICANTES'!B:B,"VERIFICAR",0,1)</f>
        <v>WINKEY</v>
      </c>
      <c r="O63" s="14">
        <f>[1]!MOVIMENTACOES[[#This Row],[PREÇO NET]]*[1]!MOVIMENTACOES[[#This Row],[Qtde]]</f>
        <v>10982.470000000001</v>
      </c>
      <c r="P63" s="3" t="s">
        <v>469</v>
      </c>
      <c r="Q63" s="3" t="s">
        <v>470</v>
      </c>
      <c r="R63" s="3" t="s">
        <v>49</v>
      </c>
      <c r="S63" s="3" t="s">
        <v>444</v>
      </c>
      <c r="T63" s="6">
        <v>46030</v>
      </c>
      <c r="U63" s="6" t="s">
        <v>436</v>
      </c>
      <c r="V63" s="3" t="s">
        <v>91</v>
      </c>
      <c r="W63" s="3"/>
      <c r="X63" s="3"/>
      <c r="Y63" s="3" t="s">
        <v>437</v>
      </c>
      <c r="Z63" s="3" t="s">
        <v>438</v>
      </c>
      <c r="AA63" s="3" t="s">
        <v>439</v>
      </c>
      <c r="AB63" s="3"/>
      <c r="AC63" s="3" t="s">
        <v>440</v>
      </c>
      <c r="AD63" s="3" t="s">
        <v>445</v>
      </c>
      <c r="AE63" s="3" t="s">
        <v>44</v>
      </c>
      <c r="AF63" s="3" t="s">
        <v>45</v>
      </c>
      <c r="AG63" s="3" t="s">
        <v>46</v>
      </c>
      <c r="AH63" s="3" t="s">
        <v>47</v>
      </c>
      <c r="AI63" s="3" t="s">
        <v>48</v>
      </c>
      <c r="AJ63" s="4">
        <v>8</v>
      </c>
      <c r="AK63" s="4">
        <v>9</v>
      </c>
      <c r="AL63" s="4">
        <v>0</v>
      </c>
      <c r="AM63" s="5">
        <v>618.52263935990004</v>
      </c>
      <c r="AN63" s="5">
        <v>1737.58</v>
      </c>
      <c r="AO63" s="5">
        <v>4948.1811148792003</v>
      </c>
      <c r="AP63" s="5">
        <v>13900.64</v>
      </c>
      <c r="AQ63" s="5">
        <v>13900.64</v>
      </c>
      <c r="AR63" s="5">
        <v>2502.12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/>
      <c r="AY63" s="5"/>
      <c r="AZ63" s="5"/>
      <c r="BA63" s="5">
        <v>0</v>
      </c>
      <c r="BB63" s="5">
        <v>0</v>
      </c>
      <c r="BC63" s="5">
        <v>0</v>
      </c>
      <c r="BD63" s="5">
        <v>11398.52</v>
      </c>
      <c r="BE63" s="5">
        <v>74.09</v>
      </c>
      <c r="BF63" s="5">
        <v>0</v>
      </c>
      <c r="BG63" s="5">
        <v>11398.52</v>
      </c>
      <c r="BH63" s="5">
        <v>341.96</v>
      </c>
      <c r="BI63" s="5">
        <v>0</v>
      </c>
      <c r="BJ63" s="5">
        <v>0</v>
      </c>
      <c r="BK63" s="5">
        <v>0</v>
      </c>
      <c r="BL63" s="3" t="s">
        <v>49</v>
      </c>
      <c r="BM63" s="3"/>
      <c r="BN63" s="3" t="s">
        <v>166</v>
      </c>
      <c r="BO63" s="3" t="s">
        <v>51</v>
      </c>
      <c r="BP63" s="3" t="s">
        <v>473</v>
      </c>
      <c r="BQ63" s="6">
        <v>46675</v>
      </c>
    </row>
    <row r="64" spans="1:69" x14ac:dyDescent="0.25">
      <c r="A64" s="11" t="str">
        <f>LEFT([1]!MOVIMENTACOES[[#This Row],[Código]],9)</f>
        <v>090004058</v>
      </c>
      <c r="B64" s="11" t="s">
        <v>149</v>
      </c>
      <c r="C64" s="11" t="str">
        <f>TRIM(IFERROR(LEFT([1]!MOVIMENTACOES[[#This Row],[Descrição]],SEARCH([1]!MOVIMENTACOES[[#This Row],[EMBALAGEM]],[1]!MOVIMENTACOES[[#This Row],[Descrição]],1)-1),[1]!MOVIMENTACOES[[#This Row],[Descrição]]))</f>
        <v>WINPEP DECATIDE</v>
      </c>
      <c r="D64" s="11" t="str">
        <f>_xlfn.CONCAT([1]!MOVIMENTACOES[[#This Row],[FABRICANTE]],[1]!MOVIMENTACOES[[#This Row],[DESCRIÇÃO SEM EMBALAGEM]],[1]!MOVIMENTACOES[[#This Row],[Coluna1]])</f>
        <v>WINKEYWINPEP DECATIDE1</v>
      </c>
      <c r="E64" s="12">
        <f>_xlfn.XLOOKUP([1]!MOVIMENTACOES[[#This Row],[CONCAT]],'[2]PRICE LIST'!$G:$G,'[2]PRICE LIST'!$Q:$Q,"VERIFICAR",0,1)</f>
        <v>494.40000000000003</v>
      </c>
      <c r="F64" s="13">
        <f>_xlfn.XLOOKUP([1]!MOVIMENTACOES[[#This Row],[Data]],[1]PTAX!A:A,[1]PTAX!C:C,"VERIFICAR",0,1)*[1]!MOVIMENTACOES[[#This Row],[PREÇO DE LISTA DOLAR]]</f>
        <v>2662.5417600000001</v>
      </c>
      <c r="G64" s="14">
        <f>[1]!MOVIMENTACOES[[#This Row],[PREÇO NET]]-[1]!MOVIMENTACOES[[#This Row],[PREÇO DE LISTA REAL]]</f>
        <v>-1289.7317600000001</v>
      </c>
      <c r="H64" s="15">
        <f>-[1]!MOVIMENTACOES[[#This Row],[DESCONTO CONCEDIDO]]/[1]!MOVIMENTACOES[[#This Row],[PREÇO DE LISTA REAL]]</f>
        <v>0.48439869728090201</v>
      </c>
      <c r="I6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1372.81</v>
      </c>
      <c r="J64" s="15">
        <f>VLOOKUP([1]!MOVIMENTACOES[[#This Row],[DESC %]],[1]!DESC[#Data],2,TRUE)</f>
        <v>2.5000000000000001E-3</v>
      </c>
      <c r="K64" s="15">
        <f>_xlfn.XLOOKUP([1]!MOVIMENTACOES[[#This Row],[NF-e]],'[1]PEDIDOS E COMISSOES'!A:A,'[1]PEDIDOS E COMISSOES'!E:E,"VERIFICAR",0,1)</f>
        <v>0</v>
      </c>
      <c r="L64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64" s="16">
        <f>[1]!MOVIMENTACOES[[#This Row],[COMISSÃO FINAL]]*([1]!MOVIMENTACOES[[#This Row],[PREÇO NET]]*[1]!MOVIMENTACOES[[#This Row],[Qtde]])</f>
        <v>30.888224999999998</v>
      </c>
      <c r="N64" s="14" t="str">
        <f>_xlfn.XLOOKUP(LEFT([1]!MOVIMENTACOES[[#This Row],[Código]],3),'[1]BASE DE FABRICANTES'!A:A,'[1]BASE DE FABRICANTES'!B:B,"VERIFICAR",0,1)</f>
        <v>WINKEY</v>
      </c>
      <c r="O64" s="14">
        <f>[1]!MOVIMENTACOES[[#This Row],[PREÇO NET]]*[1]!MOVIMENTACOES[[#This Row],[Qtde]]</f>
        <v>12355.289999999999</v>
      </c>
      <c r="P64" s="17" t="s">
        <v>469</v>
      </c>
      <c r="Q64" s="17" t="s">
        <v>470</v>
      </c>
      <c r="R64" s="17" t="s">
        <v>49</v>
      </c>
      <c r="S64" s="17" t="s">
        <v>444</v>
      </c>
      <c r="T64" s="18">
        <v>46030</v>
      </c>
      <c r="U64" s="18" t="s">
        <v>436</v>
      </c>
      <c r="V64" s="17" t="s">
        <v>91</v>
      </c>
      <c r="W64" s="17"/>
      <c r="X64" s="17"/>
      <c r="Y64" s="17" t="s">
        <v>437</v>
      </c>
      <c r="Z64" s="17" t="s">
        <v>438</v>
      </c>
      <c r="AA64" s="17" t="s">
        <v>439</v>
      </c>
      <c r="AB64" s="17"/>
      <c r="AC64" s="17" t="s">
        <v>440</v>
      </c>
      <c r="AD64" s="17" t="s">
        <v>445</v>
      </c>
      <c r="AE64" s="17" t="s">
        <v>44</v>
      </c>
      <c r="AF64" s="17" t="s">
        <v>45</v>
      </c>
      <c r="AG64" s="17" t="s">
        <v>46</v>
      </c>
      <c r="AH64" s="17" t="s">
        <v>47</v>
      </c>
      <c r="AI64" s="17" t="s">
        <v>48</v>
      </c>
      <c r="AJ64" s="19">
        <v>9</v>
      </c>
      <c r="AK64" s="19">
        <v>0</v>
      </c>
      <c r="AL64" s="19">
        <v>0</v>
      </c>
      <c r="AM64" s="20">
        <v>618.52263935990004</v>
      </c>
      <c r="AN64" s="20">
        <v>1737.58</v>
      </c>
      <c r="AO64" s="20">
        <v>5566.7037542390999</v>
      </c>
      <c r="AP64" s="20">
        <v>15638.22</v>
      </c>
      <c r="AQ64" s="20">
        <v>15638.22</v>
      </c>
      <c r="AR64" s="20">
        <v>2814.88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/>
      <c r="AY64" s="20"/>
      <c r="AZ64" s="20"/>
      <c r="BA64" s="20">
        <v>0</v>
      </c>
      <c r="BB64" s="20">
        <v>0</v>
      </c>
      <c r="BC64" s="20">
        <v>0</v>
      </c>
      <c r="BD64" s="20">
        <v>12823.34</v>
      </c>
      <c r="BE64" s="20">
        <v>83.35</v>
      </c>
      <c r="BF64" s="20">
        <v>0</v>
      </c>
      <c r="BG64" s="20">
        <v>12823.34</v>
      </c>
      <c r="BH64" s="20">
        <v>384.7</v>
      </c>
      <c r="BI64" s="20">
        <v>0</v>
      </c>
      <c r="BJ64" s="20">
        <v>0</v>
      </c>
      <c r="BK64" s="20">
        <v>0</v>
      </c>
      <c r="BL64" s="17" t="s">
        <v>49</v>
      </c>
      <c r="BM64" s="17"/>
      <c r="BN64" s="17" t="s">
        <v>166</v>
      </c>
      <c r="BO64" s="17" t="s">
        <v>51</v>
      </c>
      <c r="BP64" s="17" t="s">
        <v>472</v>
      </c>
      <c r="BQ64" s="18">
        <v>46639</v>
      </c>
    </row>
    <row r="65" spans="1:69" x14ac:dyDescent="0.25">
      <c r="A65" s="11" t="str">
        <f>LEFT([1]!MOVIMENTACOES[[#This Row],[Código]],9)</f>
        <v>002004119</v>
      </c>
      <c r="B65" s="11" t="s">
        <v>149</v>
      </c>
      <c r="C65" s="11" t="str">
        <f>TRIM(IFERROR(LEFT([1]!MOVIMENTACOES[[#This Row],[Descrição]],SEARCH([1]!MOVIMENTACOES[[#This Row],[EMBALAGEM]],[1]!MOVIMENTACOES[[#This Row],[Descrição]],1)-1),[1]!MOVIMENTACOES[[#This Row],[Descrição]]))</f>
        <v>RICE PDRN (ED)</v>
      </c>
      <c r="D65" s="11" t="str">
        <f>_xlfn.CONCAT([1]!MOVIMENTACOES[[#This Row],[FABRICANTE]],[1]!MOVIMENTACOES[[#This Row],[DESCRIÇÃO SEM EMBALAGEM]],[1]!MOVIMENTACOES[[#This Row],[Coluna1]])</f>
        <v>BIOLANDRICE PDRN (ED)1</v>
      </c>
      <c r="E65" s="12">
        <f>_xlfn.XLOOKUP([1]!MOVIMENTACOES[[#This Row],[CONCAT]],'[2]PRICE LIST'!$G:$G,'[2]PRICE LIST'!$Q:$Q,"VERIFICAR",0,1)</f>
        <v>1733.8541049999999</v>
      </c>
      <c r="F65" s="13">
        <f>_xlfn.XLOOKUP([1]!MOVIMENTACOES[[#This Row],[Data]],[1]PTAX!A:A,[1]PTAX!C:C,"VERIFICAR",0,1)*[1]!MOVIMENTACOES[[#This Row],[PREÇO DE LISTA DOLAR]]</f>
        <v>9337.4978970669981</v>
      </c>
      <c r="G65" s="14">
        <f>[1]!MOVIMENTACOES[[#This Row],[PREÇO NET]]-[1]!MOVIMENTACOES[[#This Row],[PREÇO DE LISTA REAL]]</f>
        <v>-3239.8778970669982</v>
      </c>
      <c r="H65" s="15">
        <f>-[1]!MOVIMENTACOES[[#This Row],[DESCONTO CONCEDIDO]]/[1]!MOVIMENTACOES[[#This Row],[PREÇO DE LISTA REAL]]</f>
        <v>0.34697495333141404</v>
      </c>
      <c r="I6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6097.62</v>
      </c>
      <c r="J65" s="15">
        <f>VLOOKUP([1]!MOVIMENTACOES[[#This Row],[DESC %]],[1]!DESC[#Data],2,TRUE)</f>
        <v>2.5000000000000001E-3</v>
      </c>
      <c r="K65" s="15">
        <f>_xlfn.XLOOKUP([1]!MOVIMENTACOES[[#This Row],[NF-e]],'[1]PEDIDOS E COMISSOES'!A:A,'[1]PEDIDOS E COMISSOES'!E:E,"VERIFICAR",0,1)</f>
        <v>0</v>
      </c>
      <c r="L65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65" s="16">
        <f>[1]!MOVIMENTACOES[[#This Row],[COMISSÃO FINAL]]*([1]!MOVIMENTACOES[[#This Row],[PREÇO NET]]*[1]!MOVIMENTACOES[[#This Row],[Qtde]])</f>
        <v>15.24405</v>
      </c>
      <c r="N65" s="14" t="str">
        <f>_xlfn.XLOOKUP(LEFT([1]!MOVIMENTACOES[[#This Row],[Código]],3),'[1]BASE DE FABRICANTES'!A:A,'[1]BASE DE FABRICANTES'!B:B,"VERIFICAR",0,1)</f>
        <v>BIOLAND</v>
      </c>
      <c r="O65" s="14">
        <f>[1]!MOVIMENTACOES[[#This Row],[PREÇO NET]]*[1]!MOVIMENTACOES[[#This Row],[Qtde]]</f>
        <v>6097.62</v>
      </c>
      <c r="P65" s="3" t="s">
        <v>434</v>
      </c>
      <c r="Q65" s="3" t="s">
        <v>435</v>
      </c>
      <c r="R65" s="3" t="s">
        <v>49</v>
      </c>
      <c r="S65" s="3" t="s">
        <v>89</v>
      </c>
      <c r="T65" s="6">
        <v>46030</v>
      </c>
      <c r="U65" s="6" t="s">
        <v>436</v>
      </c>
      <c r="V65" s="3" t="s">
        <v>91</v>
      </c>
      <c r="W65" s="3"/>
      <c r="X65" s="3"/>
      <c r="Y65" s="3" t="s">
        <v>437</v>
      </c>
      <c r="Z65" s="3" t="s">
        <v>438</v>
      </c>
      <c r="AA65" s="3" t="s">
        <v>439</v>
      </c>
      <c r="AB65" s="3"/>
      <c r="AC65" s="3" t="s">
        <v>440</v>
      </c>
      <c r="AD65" s="3" t="s">
        <v>43</v>
      </c>
      <c r="AE65" s="3" t="s">
        <v>44</v>
      </c>
      <c r="AF65" s="3" t="s">
        <v>45</v>
      </c>
      <c r="AG65" s="3" t="s">
        <v>46</v>
      </c>
      <c r="AH65" s="3" t="s">
        <v>47</v>
      </c>
      <c r="AI65" s="3" t="s">
        <v>48</v>
      </c>
      <c r="AJ65" s="4">
        <v>1</v>
      </c>
      <c r="AK65" s="4">
        <v>12</v>
      </c>
      <c r="AL65" s="4">
        <v>0</v>
      </c>
      <c r="AM65" s="5">
        <v>3715.8446784225998</v>
      </c>
      <c r="AN65" s="5">
        <v>7717.83</v>
      </c>
      <c r="AO65" s="5">
        <v>3715.8446784225998</v>
      </c>
      <c r="AP65" s="5">
        <v>7717.83</v>
      </c>
      <c r="AQ65" s="5">
        <v>7717.83</v>
      </c>
      <c r="AR65" s="5">
        <v>1389.21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/>
      <c r="AY65" s="5"/>
      <c r="AZ65" s="5"/>
      <c r="BA65" s="5">
        <v>7717.83</v>
      </c>
      <c r="BB65" s="5">
        <v>501.66</v>
      </c>
      <c r="BC65" s="5">
        <v>0</v>
      </c>
      <c r="BD65" s="5">
        <v>6328.62</v>
      </c>
      <c r="BE65" s="5">
        <v>41.14</v>
      </c>
      <c r="BF65" s="5">
        <v>0</v>
      </c>
      <c r="BG65" s="5">
        <v>6328.62</v>
      </c>
      <c r="BH65" s="5">
        <v>189.86</v>
      </c>
      <c r="BI65" s="5">
        <v>0</v>
      </c>
      <c r="BJ65" s="5">
        <v>0</v>
      </c>
      <c r="BK65" s="5">
        <v>0</v>
      </c>
      <c r="BL65" s="3" t="s">
        <v>49</v>
      </c>
      <c r="BM65" s="3"/>
      <c r="BN65" s="3" t="s">
        <v>166</v>
      </c>
      <c r="BO65" s="3" t="s">
        <v>51</v>
      </c>
      <c r="BP65" s="3" t="s">
        <v>474</v>
      </c>
      <c r="BQ65" s="6">
        <v>46695</v>
      </c>
    </row>
    <row r="66" spans="1:69" x14ac:dyDescent="0.25">
      <c r="A66" s="11" t="str">
        <f>LEFT([1]!MOVIMENTACOES[[#This Row],[Código]],9)</f>
        <v>002004012</v>
      </c>
      <c r="B66" s="11" t="s">
        <v>149</v>
      </c>
      <c r="C66" s="11" t="str">
        <f>TRIM(IFERROR(LEFT([1]!MOVIMENTACOES[[#This Row],[Descrição]],SEARCH([1]!MOVIMENTACOES[[#This Row],[EMBALAGEM]],[1]!MOVIMENTACOES[[#This Row],[Descrição]],1)-1),[1]!MOVIMENTACOES[[#This Row],[Descrição]]))</f>
        <v>OLIGO-HA</v>
      </c>
      <c r="D66" s="11" t="str">
        <f>_xlfn.CONCAT([1]!MOVIMENTACOES[[#This Row],[FABRICANTE]],[1]!MOVIMENTACOES[[#This Row],[DESCRIÇÃO SEM EMBALAGEM]],[1]!MOVIMENTACOES[[#This Row],[Coluna1]])</f>
        <v>BIOLANDOLIGO-HA1</v>
      </c>
      <c r="E66" s="12">
        <f>_xlfn.XLOOKUP([1]!MOVIMENTACOES[[#This Row],[CONCAT]],'[2]PRICE LIST'!$G:$G,'[2]PRICE LIST'!$Q:$Q,"VERIFICAR",0,1)</f>
        <v>3433.786705</v>
      </c>
      <c r="F66" s="13">
        <f>_xlfn.XLOOKUP([1]!MOVIMENTACOES[[#This Row],[Data]],[1]PTAX!A:A,[1]PTAX!C:C,"VERIFICAR",0,1)*[1]!MOVIMENTACOES[[#This Row],[PREÇO DE LISTA DOLAR]]</f>
        <v>18492.314921106998</v>
      </c>
      <c r="G66" s="14">
        <f>[1]!MOVIMENTACOES[[#This Row],[PREÇO NET]]-[1]!MOVIMENTACOES[[#This Row],[PREÇO DE LISTA REAL]]</f>
        <v>-1840.3099211070003</v>
      </c>
      <c r="H66" s="15">
        <f>-[1]!MOVIMENTACOES[[#This Row],[DESCONTO CONCEDIDO]]/[1]!MOVIMENTACOES[[#This Row],[PREÇO DE LISTA REAL]]</f>
        <v>9.9517552505364454E-2</v>
      </c>
      <c r="I6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16652.004999999997</v>
      </c>
      <c r="J66" s="15">
        <f>VLOOKUP([1]!MOVIMENTACOES[[#This Row],[DESC %]],[1]!DESC[#Data],2,TRUE)</f>
        <v>7.0000000000000001E-3</v>
      </c>
      <c r="K66" s="15">
        <f>_xlfn.XLOOKUP([1]!MOVIMENTACOES[[#This Row],[NF-e]],'[1]PEDIDOS E COMISSOES'!A:A,'[1]PEDIDOS E COMISSOES'!E:E,"VERIFICAR",0,1)</f>
        <v>-4.5000000000000005E-3</v>
      </c>
      <c r="L66" s="15">
        <f>IF([1]!MOVIMENTACOES[[#This Row],[PERCENTUAL DE COMISSÕES]]+[1]!MOVIMENTACOES[[#This Row],[AJUSTE COMISSÃO]]&lt;0.06%,0.05%,[1]!MOVIMENTACOES[[#This Row],[PERCENTUAL DE COMISSÕES]]+[1]!MOVIMENTACOES[[#This Row],[AJUSTE COMISSÃO]])</f>
        <v>2.4999999999999996E-3</v>
      </c>
      <c r="M66" s="16">
        <f>[1]!MOVIMENTACOES[[#This Row],[COMISSÃO FINAL]]*([1]!MOVIMENTACOES[[#This Row],[PREÇO NET]]*[1]!MOVIMENTACOES[[#This Row],[Qtde]])</f>
        <v>83.26002499999997</v>
      </c>
      <c r="N66" s="14" t="str">
        <f>_xlfn.XLOOKUP(LEFT([1]!MOVIMENTACOES[[#This Row],[Código]],3),'[1]BASE DE FABRICANTES'!A:A,'[1]BASE DE FABRICANTES'!B:B,"VERIFICAR",0,1)</f>
        <v>BIOLAND</v>
      </c>
      <c r="O66" s="14">
        <f>[1]!MOVIMENTACOES[[#This Row],[PREÇO NET]]*[1]!MOVIMENTACOES[[#This Row],[Qtde]]</f>
        <v>33304.009999999995</v>
      </c>
      <c r="P66" s="17" t="s">
        <v>186</v>
      </c>
      <c r="Q66" s="17" t="s">
        <v>187</v>
      </c>
      <c r="R66" s="17" t="s">
        <v>49</v>
      </c>
      <c r="S66" s="17" t="s">
        <v>102</v>
      </c>
      <c r="T66" s="18">
        <v>46030</v>
      </c>
      <c r="U66" s="18" t="s">
        <v>333</v>
      </c>
      <c r="V66" s="17" t="s">
        <v>91</v>
      </c>
      <c r="W66" s="17"/>
      <c r="X66" s="17"/>
      <c r="Y66" s="17" t="s">
        <v>475</v>
      </c>
      <c r="Z66" s="17" t="s">
        <v>476</v>
      </c>
      <c r="AA66" s="17" t="s">
        <v>477</v>
      </c>
      <c r="AB66" s="17"/>
      <c r="AC66" s="17" t="s">
        <v>321</v>
      </c>
      <c r="AD66" s="17" t="s">
        <v>43</v>
      </c>
      <c r="AE66" s="17" t="s">
        <v>44</v>
      </c>
      <c r="AF66" s="17" t="s">
        <v>45</v>
      </c>
      <c r="AG66" s="17" t="s">
        <v>46</v>
      </c>
      <c r="AH66" s="17" t="s">
        <v>47</v>
      </c>
      <c r="AI66" s="17" t="s">
        <v>48</v>
      </c>
      <c r="AJ66" s="19">
        <v>2</v>
      </c>
      <c r="AK66" s="19">
        <v>1</v>
      </c>
      <c r="AL66" s="19">
        <v>0</v>
      </c>
      <c r="AM66" s="20">
        <v>7332.0490631231996</v>
      </c>
      <c r="AN66" s="20">
        <v>21076.62</v>
      </c>
      <c r="AO66" s="20">
        <v>14664.098126246399</v>
      </c>
      <c r="AP66" s="20">
        <v>42153.24</v>
      </c>
      <c r="AQ66" s="20">
        <v>42153.24</v>
      </c>
      <c r="AR66" s="20">
        <v>7587.58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/>
      <c r="AY66" s="20"/>
      <c r="AZ66" s="20"/>
      <c r="BA66" s="20">
        <v>42153.24</v>
      </c>
      <c r="BB66" s="20">
        <v>1369.98</v>
      </c>
      <c r="BC66" s="20">
        <v>0</v>
      </c>
      <c r="BD66" s="20">
        <v>34565.660000000003</v>
      </c>
      <c r="BE66" s="20">
        <v>224.68</v>
      </c>
      <c r="BF66" s="20">
        <v>0</v>
      </c>
      <c r="BG66" s="20">
        <v>34565.660000000003</v>
      </c>
      <c r="BH66" s="20">
        <v>1036.97</v>
      </c>
      <c r="BI66" s="20">
        <v>0</v>
      </c>
      <c r="BJ66" s="20">
        <v>0</v>
      </c>
      <c r="BK66" s="20">
        <v>0</v>
      </c>
      <c r="BL66" s="17" t="s">
        <v>49</v>
      </c>
      <c r="BM66" s="17"/>
      <c r="BN66" s="17" t="s">
        <v>55</v>
      </c>
      <c r="BO66" s="17" t="s">
        <v>51</v>
      </c>
      <c r="BP66" s="17" t="s">
        <v>193</v>
      </c>
      <c r="BQ66" s="18">
        <v>46658</v>
      </c>
    </row>
    <row r="67" spans="1:69" x14ac:dyDescent="0.25">
      <c r="A67" s="11" t="str">
        <f>LEFT([1]!MOVIMENTACOES[[#This Row],[Código]],9)</f>
        <v>072004003</v>
      </c>
      <c r="B67" s="11" t="s">
        <v>99</v>
      </c>
      <c r="C67" s="11" t="str">
        <f>TRIM(IFERROR(LEFT([1]!MOVIMENTACOES[[#This Row],[Descrição]],SEARCH([1]!MOVIMENTACOES[[#This Row],[EMBALAGEM]],[1]!MOVIMENTACOES[[#This Row],[Descrição]],1)-1),[1]!MOVIMENTACOES[[#This Row],[Descrição]]))</f>
        <v>GLUCONOLACTONE</v>
      </c>
      <c r="D67" s="11" t="str">
        <f>_xlfn.CONCAT([1]!MOVIMENTACOES[[#This Row],[FABRICANTE]],[1]!MOVIMENTACOES[[#This Row],[DESCRIÇÃO SEM EMBALAGEM]],[1]!MOVIMENTACOES[[#This Row],[Coluna1]])</f>
        <v>HAIHANGGLUCONOLACTONE5</v>
      </c>
      <c r="E67" s="12">
        <f>_xlfn.XLOOKUP([1]!MOVIMENTACOES[[#This Row],[CONCAT]],'[2]PRICE LIST'!$G:$G,'[2]PRICE LIST'!$Q:$Q,"VERIFICAR",0,1)</f>
        <v>17.842500000000001</v>
      </c>
      <c r="F67" s="13">
        <f>_xlfn.XLOOKUP([1]!MOVIMENTACOES[[#This Row],[Data]],[1]PTAX!A:A,[1]PTAX!C:C,"VERIFICAR",0,1)*[1]!MOVIMENTACOES[[#This Row],[PREÇO DE LISTA DOLAR]]</f>
        <v>95.816009250000008</v>
      </c>
      <c r="G67" s="14">
        <f>[1]!MOVIMENTACOES[[#This Row],[PREÇO NET]]-[1]!MOVIMENTACOES[[#This Row],[PREÇO DE LISTA REAL]]</f>
        <v>-31.470009250000018</v>
      </c>
      <c r="H67" s="15">
        <f>-[1]!MOVIMENTACOES[[#This Row],[DESCONTO CONCEDIDO]]/[1]!MOVIMENTACOES[[#This Row],[PREÇO DE LISTA REAL]]</f>
        <v>0.32844207869156289</v>
      </c>
      <c r="I6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64.345999999999989</v>
      </c>
      <c r="J67" s="15">
        <f>VLOOKUP([1]!MOVIMENTACOES[[#This Row],[DESC %]],[1]!DESC[#Data],2,TRUE)</f>
        <v>2.5000000000000001E-3</v>
      </c>
      <c r="K67" s="15">
        <f>_xlfn.XLOOKUP([1]!MOVIMENTACOES[[#This Row],[NF-e]],'[1]PEDIDOS E COMISSOES'!A:A,'[1]PEDIDOS E COMISSOES'!E:E,"VERIFICAR",0,1)</f>
        <v>0</v>
      </c>
      <c r="L67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67" s="16">
        <f>[1]!MOVIMENTACOES[[#This Row],[COMISSÃO FINAL]]*([1]!MOVIMENTACOES[[#This Row],[PREÇO NET]]*[1]!MOVIMENTACOES[[#This Row],[Qtde]])</f>
        <v>0.80432499999999996</v>
      </c>
      <c r="N67" s="14" t="str">
        <f>_xlfn.XLOOKUP(LEFT([1]!MOVIMENTACOES[[#This Row],[Código]],3),'[1]BASE DE FABRICANTES'!A:A,'[1]BASE DE FABRICANTES'!B:B,"VERIFICAR",0,1)</f>
        <v>HAIHANG</v>
      </c>
      <c r="O67" s="14">
        <f>[1]!MOVIMENTACOES[[#This Row],[PREÇO NET]]*[1]!MOVIMENTACOES[[#This Row],[Qtde]]</f>
        <v>321.72999999999996</v>
      </c>
      <c r="P67" s="3" t="s">
        <v>330</v>
      </c>
      <c r="Q67" s="3" t="s">
        <v>331</v>
      </c>
      <c r="R67" s="3" t="s">
        <v>49</v>
      </c>
      <c r="S67" s="3" t="s">
        <v>332</v>
      </c>
      <c r="T67" s="6">
        <v>46031</v>
      </c>
      <c r="U67" s="6" t="s">
        <v>478</v>
      </c>
      <c r="V67" s="3" t="s">
        <v>91</v>
      </c>
      <c r="W67" s="3"/>
      <c r="X67" s="3"/>
      <c r="Y67" s="3" t="s">
        <v>479</v>
      </c>
      <c r="Z67" s="3" t="s">
        <v>480</v>
      </c>
      <c r="AA67" s="3" t="s">
        <v>481</v>
      </c>
      <c r="AB67" s="3"/>
      <c r="AC67" s="3" t="s">
        <v>337</v>
      </c>
      <c r="AD67" s="3" t="s">
        <v>338</v>
      </c>
      <c r="AE67" s="3" t="s">
        <v>44</v>
      </c>
      <c r="AF67" s="3" t="s">
        <v>45</v>
      </c>
      <c r="AG67" s="3" t="s">
        <v>46</v>
      </c>
      <c r="AH67" s="3" t="s">
        <v>339</v>
      </c>
      <c r="AI67" s="3" t="s">
        <v>110</v>
      </c>
      <c r="AJ67" s="4">
        <v>5</v>
      </c>
      <c r="AK67" s="4">
        <v>25</v>
      </c>
      <c r="AL67" s="4">
        <v>0</v>
      </c>
      <c r="AM67" s="5">
        <v>22.419833333300001</v>
      </c>
      <c r="AN67" s="5">
        <v>75.89</v>
      </c>
      <c r="AO67" s="5">
        <v>112.0991666665</v>
      </c>
      <c r="AP67" s="5">
        <v>379.45</v>
      </c>
      <c r="AQ67" s="5">
        <v>379.45</v>
      </c>
      <c r="AR67" s="5">
        <v>45.53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/>
      <c r="AY67" s="5"/>
      <c r="AZ67" s="5"/>
      <c r="BA67" s="5">
        <v>0</v>
      </c>
      <c r="BB67" s="5">
        <v>0</v>
      </c>
      <c r="BC67" s="5">
        <v>0</v>
      </c>
      <c r="BD67" s="5">
        <v>333.92</v>
      </c>
      <c r="BE67" s="5">
        <v>2.17</v>
      </c>
      <c r="BF67" s="5">
        <v>0</v>
      </c>
      <c r="BG67" s="5">
        <v>333.92</v>
      </c>
      <c r="BH67" s="5">
        <v>10.02</v>
      </c>
      <c r="BI67" s="5">
        <v>0</v>
      </c>
      <c r="BJ67" s="5">
        <v>0</v>
      </c>
      <c r="BK67" s="5">
        <v>0</v>
      </c>
      <c r="BL67" s="3" t="s">
        <v>49</v>
      </c>
      <c r="BM67" s="3"/>
      <c r="BN67" s="3" t="s">
        <v>50</v>
      </c>
      <c r="BO67" s="3" t="s">
        <v>51</v>
      </c>
      <c r="BP67" s="3" t="s">
        <v>340</v>
      </c>
      <c r="BQ67" s="6">
        <v>46617</v>
      </c>
    </row>
    <row r="68" spans="1:69" x14ac:dyDescent="0.25">
      <c r="A68" s="11" t="str">
        <f>LEFT([1]!MOVIMENTACOES[[#This Row],[Código]],9)</f>
        <v>030004040</v>
      </c>
      <c r="B68" s="11" t="s">
        <v>149</v>
      </c>
      <c r="C68" s="11" t="str">
        <f>TRIM(IFERROR(LEFT([1]!MOVIMENTACOES[[#This Row],[Descrição]],SEARCH([1]!MOVIMENTACOES[[#This Row],[EMBALAGEM]],[1]!MOVIMENTACOES[[#This Row],[Descrição]],1)-1),[1]!MOVIMENTACOES[[#This Row],[Descrição]]))</f>
        <v>RESVERATROL NATURAL</v>
      </c>
      <c r="D68" s="11" t="str">
        <f>_xlfn.CONCAT([1]!MOVIMENTACOES[[#This Row],[FABRICANTE]],[1]!MOVIMENTACOES[[#This Row],[DESCRIÇÃO SEM EMBALAGEM]],[1]!MOVIMENTACOES[[#This Row],[Coluna1]])</f>
        <v>SPEC CHEMRESVERATROL NATURAL1</v>
      </c>
      <c r="E68" s="12">
        <f>_xlfn.XLOOKUP([1]!MOVIMENTACOES[[#This Row],[CONCAT]],'[2]PRICE LIST'!$G:$G,'[2]PRICE LIST'!$Q:$Q,"VERIFICAR",0,1)</f>
        <v>862.1881120614072</v>
      </c>
      <c r="F68" s="13">
        <f>_xlfn.XLOOKUP([1]!MOVIMENTACOES[[#This Row],[Data]],[1]PTAX!A:A,[1]PTAX!C:C,"VERIFICAR",0,1)*[1]!MOVIMENTACOES[[#This Row],[PREÇO DE LISTA DOLAR]]</f>
        <v>4630.0363805809629</v>
      </c>
      <c r="G68" s="14">
        <f>[1]!MOVIMENTACOES[[#This Row],[PREÇO NET]]-[1]!MOVIMENTACOES[[#This Row],[PREÇO DE LISTA REAL]]</f>
        <v>-717.9563805809621</v>
      </c>
      <c r="H68" s="15">
        <f>-[1]!MOVIMENTACOES[[#This Row],[DESCONTO CONCEDIDO]]/[1]!MOVIMENTACOES[[#This Row],[PREÇO DE LISTA REAL]]</f>
        <v>0.15506495447685339</v>
      </c>
      <c r="I6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3912.0800000000008</v>
      </c>
      <c r="J68" s="15">
        <f>VLOOKUP([1]!MOVIMENTACOES[[#This Row],[DESC %]],[1]!DESC[#Data],2,TRUE)</f>
        <v>4.0000000000000001E-3</v>
      </c>
      <c r="K68" s="15">
        <f>_xlfn.XLOOKUP([1]!MOVIMENTACOES[[#This Row],[NF-e]],'[1]PEDIDOS E COMISSOES'!A:A,'[1]PEDIDOS E COMISSOES'!E:E,"VERIFICAR",0,1)</f>
        <v>1.5E-3</v>
      </c>
      <c r="L68" s="15">
        <f>IF([1]!MOVIMENTACOES[[#This Row],[PERCENTUAL DE COMISSÕES]]+[1]!MOVIMENTACOES[[#This Row],[AJUSTE COMISSÃO]]&lt;0.06%,0.05%,[1]!MOVIMENTACOES[[#This Row],[PERCENTUAL DE COMISSÕES]]+[1]!MOVIMENTACOES[[#This Row],[AJUSTE COMISSÃO]])</f>
        <v>5.4999999999999997E-3</v>
      </c>
      <c r="M68" s="16">
        <f>[1]!MOVIMENTACOES[[#This Row],[COMISSÃO FINAL]]*([1]!MOVIMENTACOES[[#This Row],[PREÇO NET]]*[1]!MOVIMENTACOES[[#This Row],[Qtde]])</f>
        <v>21.516440000000003</v>
      </c>
      <c r="N68" s="14" t="str">
        <f>_xlfn.XLOOKUP(LEFT([1]!MOVIMENTACOES[[#This Row],[Código]],3),'[1]BASE DE FABRICANTES'!A:A,'[1]BASE DE FABRICANTES'!B:B,"VERIFICAR",0,1)</f>
        <v>SPEC CHEM</v>
      </c>
      <c r="O68" s="14">
        <f>[1]!MOVIMENTACOES[[#This Row],[PREÇO NET]]*[1]!MOVIMENTACOES[[#This Row],[Qtde]]</f>
        <v>3912.0800000000008</v>
      </c>
      <c r="P68" s="17" t="s">
        <v>157</v>
      </c>
      <c r="Q68" s="17" t="s">
        <v>158</v>
      </c>
      <c r="R68" s="17" t="s">
        <v>49</v>
      </c>
      <c r="S68" s="17" t="s">
        <v>159</v>
      </c>
      <c r="T68" s="18">
        <v>46031</v>
      </c>
      <c r="U68" s="18" t="s">
        <v>234</v>
      </c>
      <c r="V68" s="17" t="s">
        <v>91</v>
      </c>
      <c r="W68" s="17"/>
      <c r="X68" s="17"/>
      <c r="Y68" s="17" t="s">
        <v>482</v>
      </c>
      <c r="Z68" s="17" t="s">
        <v>483</v>
      </c>
      <c r="AA68" s="17" t="s">
        <v>484</v>
      </c>
      <c r="AB68" s="17"/>
      <c r="AC68" s="17" t="s">
        <v>485</v>
      </c>
      <c r="AD68" s="17" t="s">
        <v>165</v>
      </c>
      <c r="AE68" s="17" t="s">
        <v>44</v>
      </c>
      <c r="AF68" s="17" t="s">
        <v>45</v>
      </c>
      <c r="AG68" s="17" t="s">
        <v>46</v>
      </c>
      <c r="AH68" s="17" t="s">
        <v>47</v>
      </c>
      <c r="AI68" s="17" t="s">
        <v>486</v>
      </c>
      <c r="AJ68" s="19">
        <v>1</v>
      </c>
      <c r="AK68" s="19">
        <v>0</v>
      </c>
      <c r="AL68" s="19">
        <v>0</v>
      </c>
      <c r="AM68" s="20">
        <v>2477.2621762813001</v>
      </c>
      <c r="AN68" s="20">
        <v>4951.5600000000004</v>
      </c>
      <c r="AO68" s="20">
        <v>2477.2621762813001</v>
      </c>
      <c r="AP68" s="20">
        <v>4951.5600000000004</v>
      </c>
      <c r="AQ68" s="20">
        <v>4951.5600000000004</v>
      </c>
      <c r="AR68" s="20">
        <v>891.28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/>
      <c r="AY68" s="20"/>
      <c r="AZ68" s="20"/>
      <c r="BA68" s="20">
        <v>0</v>
      </c>
      <c r="BB68" s="20">
        <v>0</v>
      </c>
      <c r="BC68" s="20">
        <v>0</v>
      </c>
      <c r="BD68" s="20">
        <v>4060.28</v>
      </c>
      <c r="BE68" s="20">
        <v>26.39</v>
      </c>
      <c r="BF68" s="20">
        <v>0</v>
      </c>
      <c r="BG68" s="20">
        <v>4060.28</v>
      </c>
      <c r="BH68" s="20">
        <v>121.81</v>
      </c>
      <c r="BI68" s="20">
        <v>0</v>
      </c>
      <c r="BJ68" s="20">
        <v>0</v>
      </c>
      <c r="BK68" s="20">
        <v>0</v>
      </c>
      <c r="BL68" s="17" t="s">
        <v>49</v>
      </c>
      <c r="BM68" s="17"/>
      <c r="BN68" s="17" t="s">
        <v>184</v>
      </c>
      <c r="BO68" s="17" t="s">
        <v>51</v>
      </c>
      <c r="BP68" s="17" t="s">
        <v>167</v>
      </c>
      <c r="BQ68" s="18">
        <v>46641</v>
      </c>
    </row>
    <row r="69" spans="1:69" x14ac:dyDescent="0.25">
      <c r="A69" s="11" t="str">
        <f>LEFT([1]!MOVIMENTACOES[[#This Row],[Código]],9)</f>
        <v>002004040</v>
      </c>
      <c r="B69" s="11" t="s">
        <v>99</v>
      </c>
      <c r="C69" s="11" t="str">
        <f>TRIM(IFERROR(LEFT([1]!MOVIMENTACOES[[#This Row],[Descrição]],SEARCH([1]!MOVIMENTACOES[[#This Row],[EMBALAGEM]],[1]!MOVIMENTACOES[[#This Row],[Descrição]],1)-1),[1]!MOVIMENTACOES[[#This Row],[Descrição]]))</f>
        <v>BIO CTP-500</v>
      </c>
      <c r="D69" s="11" t="str">
        <f>_xlfn.CONCAT([1]!MOVIMENTACOES[[#This Row],[FABRICANTE]],[1]!MOVIMENTACOES[[#This Row],[DESCRIÇÃO SEM EMBALAGEM]],[1]!MOVIMENTACOES[[#This Row],[Coluna1]])</f>
        <v>BIOLANDBIO CTP-5005</v>
      </c>
      <c r="E69" s="12">
        <f>_xlfn.XLOOKUP([1]!MOVIMENTACOES[[#This Row],[CONCAT]],'[2]PRICE LIST'!$G:$G,'[2]PRICE LIST'!$Q:$Q,"VERIFICAR",0,1)</f>
        <v>284.56896649999999</v>
      </c>
      <c r="F69" s="13">
        <f>_xlfn.XLOOKUP([1]!MOVIMENTACOES[[#This Row],[Data]],[1]PTAX!A:A,[1]PTAX!C:C,"VERIFICAR",0,1)*[1]!MOVIMENTACOES[[#This Row],[PREÇO DE LISTA DOLAR]]</f>
        <v>1528.16380700165</v>
      </c>
      <c r="G69" s="14">
        <f>[1]!MOVIMENTACOES[[#This Row],[PREÇO NET]]-[1]!MOVIMENTACOES[[#This Row],[PREÇO DE LISTA REAL]]</f>
        <v>-340.82780700165017</v>
      </c>
      <c r="H69" s="15">
        <f>-[1]!MOVIMENTACOES[[#This Row],[DESCONTO CONCEDIDO]]/[1]!MOVIMENTACOES[[#This Row],[PREÇO DE LISTA REAL]]</f>
        <v>0.22303093780919664</v>
      </c>
      <c r="I6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1187.3359999999998</v>
      </c>
      <c r="J69" s="15">
        <f>VLOOKUP([1]!MOVIMENTACOES[[#This Row],[DESC %]],[1]!DESC[#Data],2,TRUE)</f>
        <v>2.5000000000000001E-3</v>
      </c>
      <c r="K69" s="15">
        <f>_xlfn.XLOOKUP([1]!MOVIMENTACOES[[#This Row],[NF-e]],'[1]PEDIDOS E COMISSOES'!A:A,'[1]PEDIDOS E COMISSOES'!E:E,"VERIFICAR",0,1)</f>
        <v>1.5E-3</v>
      </c>
      <c r="L69" s="15">
        <f>IF([1]!MOVIMENTACOES[[#This Row],[PERCENTUAL DE COMISSÕES]]+[1]!MOVIMENTACOES[[#This Row],[AJUSTE COMISSÃO]]&lt;0.06%,0.05%,[1]!MOVIMENTACOES[[#This Row],[PERCENTUAL DE COMISSÕES]]+[1]!MOVIMENTACOES[[#This Row],[AJUSTE COMISSÃO]])</f>
        <v>4.0000000000000001E-3</v>
      </c>
      <c r="M69" s="16">
        <f>[1]!MOVIMENTACOES[[#This Row],[COMISSÃO FINAL]]*([1]!MOVIMENTACOES[[#This Row],[PREÇO NET]]*[1]!MOVIMENTACOES[[#This Row],[Qtde]])</f>
        <v>23.746719999999993</v>
      </c>
      <c r="N69" s="14" t="str">
        <f>_xlfn.XLOOKUP(LEFT([1]!MOVIMENTACOES[[#This Row],[Código]],3),'[1]BASE DE FABRICANTES'!A:A,'[1]BASE DE FABRICANTES'!B:B,"VERIFICAR",0,1)</f>
        <v>BIOLAND</v>
      </c>
      <c r="O69" s="14">
        <f>[1]!MOVIMENTACOES[[#This Row],[PREÇO NET]]*[1]!MOVIMENTACOES[[#This Row],[Qtde]]</f>
        <v>5936.6799999999985</v>
      </c>
      <c r="P69" s="3" t="s">
        <v>487</v>
      </c>
      <c r="Q69" s="3" t="s">
        <v>488</v>
      </c>
      <c r="R69" s="3" t="s">
        <v>49</v>
      </c>
      <c r="S69" s="3" t="s">
        <v>444</v>
      </c>
      <c r="T69" s="6">
        <v>46031</v>
      </c>
      <c r="U69" s="6" t="s">
        <v>489</v>
      </c>
      <c r="V69" s="3" t="s">
        <v>91</v>
      </c>
      <c r="W69" s="3"/>
      <c r="X69" s="3"/>
      <c r="Y69" s="3" t="s">
        <v>490</v>
      </c>
      <c r="Z69" s="3" t="s">
        <v>491</v>
      </c>
      <c r="AA69" s="3" t="s">
        <v>492</v>
      </c>
      <c r="AB69" s="3"/>
      <c r="AC69" s="3" t="s">
        <v>493</v>
      </c>
      <c r="AD69" s="3" t="s">
        <v>43</v>
      </c>
      <c r="AE69" s="3" t="s">
        <v>44</v>
      </c>
      <c r="AF69" s="3" t="s">
        <v>45</v>
      </c>
      <c r="AG69" s="3" t="s">
        <v>46</v>
      </c>
      <c r="AH69" s="3" t="s">
        <v>202</v>
      </c>
      <c r="AI69" s="3" t="s">
        <v>360</v>
      </c>
      <c r="AJ69" s="4">
        <v>5</v>
      </c>
      <c r="AK69" s="4">
        <v>0</v>
      </c>
      <c r="AL69" s="4">
        <v>0</v>
      </c>
      <c r="AM69" s="5">
        <v>380.30348977400001</v>
      </c>
      <c r="AN69" s="5">
        <v>1400.36</v>
      </c>
      <c r="AO69" s="5">
        <v>1901.51744887</v>
      </c>
      <c r="AP69" s="5">
        <v>7001.8</v>
      </c>
      <c r="AQ69" s="5">
        <v>7001.8</v>
      </c>
      <c r="AR69" s="5">
        <v>840.22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/>
      <c r="AY69" s="5"/>
      <c r="AZ69" s="5"/>
      <c r="BA69" s="5">
        <v>0</v>
      </c>
      <c r="BB69" s="5">
        <v>0</v>
      </c>
      <c r="BC69" s="5">
        <v>0</v>
      </c>
      <c r="BD69" s="5">
        <v>6161.58</v>
      </c>
      <c r="BE69" s="5">
        <v>40.049999999999997</v>
      </c>
      <c r="BF69" s="5">
        <v>0</v>
      </c>
      <c r="BG69" s="5">
        <v>6161.58</v>
      </c>
      <c r="BH69" s="5">
        <v>184.85</v>
      </c>
      <c r="BI69" s="5">
        <v>0</v>
      </c>
      <c r="BJ69" s="5">
        <v>0</v>
      </c>
      <c r="BK69" s="5">
        <v>0</v>
      </c>
      <c r="BL69" s="3" t="s">
        <v>49</v>
      </c>
      <c r="BM69" s="3"/>
      <c r="BN69" s="3" t="s">
        <v>166</v>
      </c>
      <c r="BO69" s="3" t="s">
        <v>51</v>
      </c>
      <c r="BP69" s="3" t="s">
        <v>494</v>
      </c>
      <c r="BQ69" s="6">
        <v>46637</v>
      </c>
    </row>
    <row r="70" spans="1:69" x14ac:dyDescent="0.25">
      <c r="A70" s="11" t="str">
        <f>LEFT([1]!MOVIMENTACOES[[#This Row],[Código]],9)</f>
        <v>061004004</v>
      </c>
      <c r="B70" s="11" t="s">
        <v>495</v>
      </c>
      <c r="C70" s="11" t="str">
        <f>TRIM(IFERROR(LEFT([1]!MOVIMENTACOES[[#This Row],[Descrição]],SEARCH([1]!MOVIMENTACOES[[#This Row],[EMBALAGEM]],[1]!MOVIMENTACOES[[#This Row],[Descrição]],1)-1),[1]!MOVIMENTACOES[[#This Row],[Descrição]]))</f>
        <v>BIO-SODIUM HYALURONATE 1% SOLUTION</v>
      </c>
      <c r="D70" s="11" t="str">
        <f>_xlfn.CONCAT([1]!MOVIMENTACOES[[#This Row],[FABRICANTE]],[1]!MOVIMENTACOES[[#This Row],[DESCRIÇÃO SEM EMBALAGEM]],[1]!MOVIMENTACOES[[#This Row],[Coluna1]])</f>
        <v>FOCUSBIO-SODIUM HYALURONATE 1% SOLUTION9</v>
      </c>
      <c r="E70" s="12">
        <f>_xlfn.XLOOKUP([1]!MOVIMENTACOES[[#This Row],[CONCAT]],'[2]PRICE LIST'!$G:$G,'[2]PRICE LIST'!$Q:$Q,"VERIFICAR",0,1)</f>
        <v>8.5399999999999991</v>
      </c>
      <c r="F70" s="13">
        <f>_xlfn.XLOOKUP([1]!MOVIMENTACOES[[#This Row],[Data]],[1]PTAX!A:A,[1]PTAX!C:C,"VERIFICAR",0,1)*[1]!MOVIMENTACOES[[#This Row],[PREÇO DE LISTA DOLAR]]</f>
        <v>45.860653999999997</v>
      </c>
      <c r="G70" s="14">
        <f>[1]!MOVIMENTACOES[[#This Row],[PREÇO NET]]-[1]!MOVIMENTACOES[[#This Row],[PREÇO DE LISTA REAL]]</f>
        <v>76.221568222222231</v>
      </c>
      <c r="H70" s="15">
        <f>-[1]!MOVIMENTACOES[[#This Row],[DESCONTO CONCEDIDO]]/[1]!MOVIMENTACOES[[#This Row],[PREÇO DE LISTA REAL]]</f>
        <v>-1.66202532179812</v>
      </c>
      <c r="I7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122.08222222222223</v>
      </c>
      <c r="J70" s="15">
        <f>VLOOKUP([1]!MOVIMENTACOES[[#This Row],[DESC %]],[1]!DESC[#Data],2,TRUE)</f>
        <v>0.01</v>
      </c>
      <c r="K70" s="15">
        <f>_xlfn.XLOOKUP([1]!MOVIMENTACOES[[#This Row],[NF-e]],'[1]PEDIDOS E COMISSOES'!A:A,'[1]PEDIDOS E COMISSOES'!E:E,"VERIFICAR",0,1)</f>
        <v>1.5E-3</v>
      </c>
      <c r="L70" s="15">
        <f>IF([1]!MOVIMENTACOES[[#This Row],[PERCENTUAL DE COMISSÕES]]+[1]!MOVIMENTACOES[[#This Row],[AJUSTE COMISSÃO]]&lt;0.06%,0.05%,[1]!MOVIMENTACOES[[#This Row],[PERCENTUAL DE COMISSÕES]]+[1]!MOVIMENTACOES[[#This Row],[AJUSTE COMISSÃO]])</f>
        <v>1.15E-2</v>
      </c>
      <c r="M70" s="16">
        <f>[1]!MOVIMENTACOES[[#This Row],[COMISSÃO FINAL]]*([1]!MOVIMENTACOES[[#This Row],[PREÇO NET]]*[1]!MOVIMENTACOES[[#This Row],[Qtde]])</f>
        <v>12.63551</v>
      </c>
      <c r="N70" s="14" t="str">
        <f>_xlfn.XLOOKUP(LEFT([1]!MOVIMENTACOES[[#This Row],[Código]],3),'[1]BASE DE FABRICANTES'!A:A,'[1]BASE DE FABRICANTES'!B:B,"VERIFICAR",0,1)</f>
        <v>FOCUS</v>
      </c>
      <c r="O70" s="14">
        <f>[1]!MOVIMENTACOES[[#This Row],[PREÇO NET]]*[1]!MOVIMENTACOES[[#This Row],[Qtde]]</f>
        <v>1098.74</v>
      </c>
      <c r="P70" s="17" t="s">
        <v>496</v>
      </c>
      <c r="Q70" s="17" t="s">
        <v>497</v>
      </c>
      <c r="R70" s="17" t="s">
        <v>49</v>
      </c>
      <c r="S70" s="17" t="s">
        <v>102</v>
      </c>
      <c r="T70" s="18">
        <v>46031</v>
      </c>
      <c r="U70" s="18" t="s">
        <v>498</v>
      </c>
      <c r="V70" s="17" t="s">
        <v>91</v>
      </c>
      <c r="W70" s="17"/>
      <c r="X70" s="17"/>
      <c r="Y70" s="17" t="s">
        <v>499</v>
      </c>
      <c r="Z70" s="17" t="s">
        <v>500</v>
      </c>
      <c r="AA70" s="17" t="s">
        <v>501</v>
      </c>
      <c r="AB70" s="17"/>
      <c r="AC70" s="17" t="s">
        <v>502</v>
      </c>
      <c r="AD70" s="17" t="s">
        <v>54</v>
      </c>
      <c r="AE70" s="17" t="s">
        <v>44</v>
      </c>
      <c r="AF70" s="17" t="s">
        <v>45</v>
      </c>
      <c r="AG70" s="17" t="s">
        <v>46</v>
      </c>
      <c r="AH70" s="17" t="s">
        <v>47</v>
      </c>
      <c r="AI70" s="17" t="s">
        <v>48</v>
      </c>
      <c r="AJ70" s="19">
        <v>9</v>
      </c>
      <c r="AK70" s="19">
        <v>288</v>
      </c>
      <c r="AL70" s="19">
        <v>0</v>
      </c>
      <c r="AM70" s="20">
        <v>14.6457446809</v>
      </c>
      <c r="AN70" s="20">
        <v>154.52000000000001</v>
      </c>
      <c r="AO70" s="20">
        <v>131.81170212809999</v>
      </c>
      <c r="AP70" s="20">
        <v>1390.68</v>
      </c>
      <c r="AQ70" s="20">
        <v>1390.68</v>
      </c>
      <c r="AR70" s="20">
        <v>250.32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/>
      <c r="AY70" s="20"/>
      <c r="AZ70" s="20"/>
      <c r="BA70" s="20">
        <v>1390.68</v>
      </c>
      <c r="BB70" s="20">
        <v>45.2</v>
      </c>
      <c r="BC70" s="20">
        <v>0</v>
      </c>
      <c r="BD70" s="20">
        <v>1140.3599999999999</v>
      </c>
      <c r="BE70" s="20">
        <v>7.41</v>
      </c>
      <c r="BF70" s="20">
        <v>0</v>
      </c>
      <c r="BG70" s="20">
        <v>1140.3599999999999</v>
      </c>
      <c r="BH70" s="20">
        <v>34.21</v>
      </c>
      <c r="BI70" s="20">
        <v>0</v>
      </c>
      <c r="BJ70" s="20">
        <v>0</v>
      </c>
      <c r="BK70" s="20">
        <v>0</v>
      </c>
      <c r="BL70" s="17" t="s">
        <v>49</v>
      </c>
      <c r="BM70" s="17"/>
      <c r="BN70" s="17" t="s">
        <v>228</v>
      </c>
      <c r="BO70" s="17" t="s">
        <v>51</v>
      </c>
      <c r="BP70" s="17" t="s">
        <v>503</v>
      </c>
      <c r="BQ70" s="18">
        <v>46683</v>
      </c>
    </row>
    <row r="71" spans="1:69" x14ac:dyDescent="0.25">
      <c r="A71" s="11" t="str">
        <f>LEFT([1]!MOVIMENTACOES[[#This Row],[Código]],9)</f>
        <v>067004017</v>
      </c>
      <c r="B71" s="11" t="s">
        <v>149</v>
      </c>
      <c r="C71" s="11" t="str">
        <f>TRIM(IFERROR(LEFT([1]!MOVIMENTACOES[[#This Row],[Descrição]],SEARCH([1]!MOVIMENTACOES[[#This Row],[EMBALAGEM]],[1]!MOVIMENTACOES[[#This Row],[Descrição]],1)-1),[1]!MOVIMENTACOES[[#This Row],[Descrição]]))</f>
        <v>NIACINAMIDE</v>
      </c>
      <c r="D71" s="11" t="str">
        <f>_xlfn.CONCAT([1]!MOVIMENTACOES[[#This Row],[FABRICANTE]],[1]!MOVIMENTACOES[[#This Row],[DESCRIÇÃO SEM EMBALAGEM]],[1]!MOVIMENTACOES[[#This Row],[Coluna1]])</f>
        <v>CHEMAXCELNIACINAMIDE1</v>
      </c>
      <c r="E71" s="12">
        <f>_xlfn.XLOOKUP([1]!MOVIMENTACOES[[#This Row],[CONCAT]],'[2]PRICE LIST'!$G:$G,'[2]PRICE LIST'!$Q:$Q,"VERIFICAR",0,1)</f>
        <v>42.87980125</v>
      </c>
      <c r="F71" s="13">
        <f>_xlfn.XLOOKUP([1]!MOVIMENTACOES[[#This Row],[Data]],[1]PTAX!A:A,[1]PTAX!C:C,"VERIFICAR",0,1)*[1]!MOVIMENTACOES[[#This Row],[PREÇO DE LISTA DOLAR]]</f>
        <v>230.26882069262498</v>
      </c>
      <c r="G71" s="14">
        <f>[1]!MOVIMENTACOES[[#This Row],[PREÇO NET]]-[1]!MOVIMENTACOES[[#This Row],[PREÇO DE LISTA REAL]]</f>
        <v>-81.332154025958346</v>
      </c>
      <c r="H71" s="15">
        <f>-[1]!MOVIMENTACOES[[#This Row],[DESCONTO CONCEDIDO]]/[1]!MOVIMENTACOES[[#This Row],[PREÇO DE LISTA REAL]]</f>
        <v>0.35320523977722895</v>
      </c>
      <c r="I7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148.93666666666664</v>
      </c>
      <c r="J71" s="15">
        <f>VLOOKUP([1]!MOVIMENTACOES[[#This Row],[DESC %]],[1]!DESC[#Data],2,TRUE)</f>
        <v>2.5000000000000001E-3</v>
      </c>
      <c r="K71" s="15">
        <f>_xlfn.XLOOKUP([1]!MOVIMENTACOES[[#This Row],[NF-e]],'[1]PEDIDOS E COMISSOES'!A:A,'[1]PEDIDOS E COMISSOES'!E:E,"VERIFICAR",0,1)</f>
        <v>1.5E-3</v>
      </c>
      <c r="L71" s="15">
        <f>IF([1]!MOVIMENTACOES[[#This Row],[PERCENTUAL DE COMISSÕES]]+[1]!MOVIMENTACOES[[#This Row],[AJUSTE COMISSÃO]]&lt;0.06%,0.05%,[1]!MOVIMENTACOES[[#This Row],[PERCENTUAL DE COMISSÕES]]+[1]!MOVIMENTACOES[[#This Row],[AJUSTE COMISSÃO]])</f>
        <v>4.0000000000000001E-3</v>
      </c>
      <c r="M71" s="16">
        <f>[1]!MOVIMENTACOES[[#This Row],[COMISSÃO FINAL]]*([1]!MOVIMENTACOES[[#This Row],[PREÇO NET]]*[1]!MOVIMENTACOES[[#This Row],[Qtde]])</f>
        <v>1.7872399999999997</v>
      </c>
      <c r="N71" s="14" t="str">
        <f>_xlfn.XLOOKUP(LEFT([1]!MOVIMENTACOES[[#This Row],[Código]],3),'[1]BASE DE FABRICANTES'!A:A,'[1]BASE DE FABRICANTES'!B:B,"VERIFICAR",0,1)</f>
        <v>CHEMAXCEL</v>
      </c>
      <c r="O71" s="14">
        <f>[1]!MOVIMENTACOES[[#This Row],[PREÇO NET]]*[1]!MOVIMENTACOES[[#This Row],[Qtde]]</f>
        <v>446.80999999999995</v>
      </c>
      <c r="P71" s="3" t="s">
        <v>504</v>
      </c>
      <c r="Q71" s="3" t="s">
        <v>505</v>
      </c>
      <c r="R71" s="3" t="s">
        <v>49</v>
      </c>
      <c r="S71" s="3" t="s">
        <v>506</v>
      </c>
      <c r="T71" s="6">
        <v>46031</v>
      </c>
      <c r="U71" s="6" t="s">
        <v>507</v>
      </c>
      <c r="V71" s="3" t="s">
        <v>91</v>
      </c>
      <c r="W71" s="3"/>
      <c r="X71" s="3"/>
      <c r="Y71" s="3" t="s">
        <v>508</v>
      </c>
      <c r="Z71" s="3" t="s">
        <v>509</v>
      </c>
      <c r="AA71" s="3" t="s">
        <v>510</v>
      </c>
      <c r="AB71" s="3"/>
      <c r="AC71" s="3" t="s">
        <v>511</v>
      </c>
      <c r="AD71" s="3"/>
      <c r="AE71" s="3" t="s">
        <v>44</v>
      </c>
      <c r="AF71" s="3" t="s">
        <v>45</v>
      </c>
      <c r="AG71" s="3" t="s">
        <v>46</v>
      </c>
      <c r="AH71" s="3" t="s">
        <v>47</v>
      </c>
      <c r="AI71" s="3" t="s">
        <v>48</v>
      </c>
      <c r="AJ71" s="4">
        <v>3</v>
      </c>
      <c r="AK71" s="4">
        <v>0</v>
      </c>
      <c r="AL71" s="4">
        <v>0</v>
      </c>
      <c r="AM71" s="5">
        <v>60.968000000000004</v>
      </c>
      <c r="AN71" s="5">
        <v>188.51</v>
      </c>
      <c r="AO71" s="5">
        <v>182.904</v>
      </c>
      <c r="AP71" s="5">
        <v>565.53</v>
      </c>
      <c r="AQ71" s="5">
        <v>565.53</v>
      </c>
      <c r="AR71" s="5">
        <v>101.8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/>
      <c r="AY71" s="5"/>
      <c r="AZ71" s="5"/>
      <c r="BA71" s="5">
        <v>0</v>
      </c>
      <c r="BB71" s="5">
        <v>0</v>
      </c>
      <c r="BC71" s="5">
        <v>0</v>
      </c>
      <c r="BD71" s="5">
        <v>463.73</v>
      </c>
      <c r="BE71" s="5">
        <v>3.01</v>
      </c>
      <c r="BF71" s="5">
        <v>0</v>
      </c>
      <c r="BG71" s="5">
        <v>463.73</v>
      </c>
      <c r="BH71" s="5">
        <v>13.91</v>
      </c>
      <c r="BI71" s="5">
        <v>0</v>
      </c>
      <c r="BJ71" s="5">
        <v>0</v>
      </c>
      <c r="BK71" s="5">
        <v>0</v>
      </c>
      <c r="BL71" s="3" t="s">
        <v>49</v>
      </c>
      <c r="BM71" s="3"/>
      <c r="BN71" s="3" t="s">
        <v>166</v>
      </c>
      <c r="BO71" s="3" t="s">
        <v>51</v>
      </c>
      <c r="BP71" s="3" t="s">
        <v>512</v>
      </c>
      <c r="BQ71" s="6">
        <v>47308</v>
      </c>
    </row>
    <row r="72" spans="1:69" x14ac:dyDescent="0.25">
      <c r="A72" s="11" t="str">
        <f>LEFT([1]!MOVIMENTACOES[[#This Row],[Código]],9)</f>
        <v>030004006</v>
      </c>
      <c r="B72" s="11" t="s">
        <v>149</v>
      </c>
      <c r="C72" s="11" t="str">
        <f>TRIM(IFERROR(LEFT([1]!MOVIMENTACOES[[#This Row],[Descrição]],SEARCH([1]!MOVIMENTACOES[[#This Row],[EMBALAGEM]],[1]!MOVIMENTACOES[[#This Row],[Descrição]],1)-1),[1]!MOVIMENTACOES[[#This Row],[Descrição]]))</f>
        <v>MANDELIC ACID</v>
      </c>
      <c r="D72" s="11" t="str">
        <f>_xlfn.CONCAT([1]!MOVIMENTACOES[[#This Row],[FABRICANTE]],[1]!MOVIMENTACOES[[#This Row],[DESCRIÇÃO SEM EMBALAGEM]],[1]!MOVIMENTACOES[[#This Row],[Coluna1]])</f>
        <v>SPEC CHEMMANDELIC ACID1</v>
      </c>
      <c r="E72" s="12">
        <f>_xlfn.XLOOKUP([1]!MOVIMENTACOES[[#This Row],[CONCAT]],'[2]PRICE LIST'!$G:$G,'[2]PRICE LIST'!$Q:$Q,"VERIFICAR",0,1)</f>
        <v>93.762457359999999</v>
      </c>
      <c r="F72" s="13">
        <f>_xlfn.XLOOKUP([1]!MOVIMENTACOES[[#This Row],[Data]],[1]PTAX!A:A,[1]PTAX!C:C,"VERIFICAR",0,1)*[1]!MOVIMENTACOES[[#This Row],[PREÇO DE LISTA DOLAR]]</f>
        <v>503.51377226893601</v>
      </c>
      <c r="G72" s="14">
        <f>[1]!MOVIMENTACOES[[#This Row],[PREÇO NET]]-[1]!MOVIMENTACOES[[#This Row],[PREÇO DE LISTA REAL]]</f>
        <v>-112.02710560226933</v>
      </c>
      <c r="H72" s="15">
        <f>-[1]!MOVIMENTACOES[[#This Row],[DESCONTO CONCEDIDO]]/[1]!MOVIMENTACOES[[#This Row],[PREÇO DE LISTA REAL]]</f>
        <v>0.22249064826459916</v>
      </c>
      <c r="I7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391.48666666666668</v>
      </c>
      <c r="J72" s="15">
        <f>VLOOKUP([1]!MOVIMENTACOES[[#This Row],[DESC %]],[1]!DESC[#Data],2,TRUE)</f>
        <v>2.5000000000000001E-3</v>
      </c>
      <c r="K72" s="15">
        <f>_xlfn.XLOOKUP([1]!MOVIMENTACOES[[#This Row],[NF-e]],'[1]PEDIDOS E COMISSOES'!A:A,'[1]PEDIDOS E COMISSOES'!E:E,"VERIFICAR",0,1)</f>
        <v>1.5E-3</v>
      </c>
      <c r="L72" s="15">
        <f>IF([1]!MOVIMENTACOES[[#This Row],[PERCENTUAL DE COMISSÕES]]+[1]!MOVIMENTACOES[[#This Row],[AJUSTE COMISSÃO]]&lt;0.06%,0.05%,[1]!MOVIMENTACOES[[#This Row],[PERCENTUAL DE COMISSÕES]]+[1]!MOVIMENTACOES[[#This Row],[AJUSTE COMISSÃO]])</f>
        <v>4.0000000000000001E-3</v>
      </c>
      <c r="M72" s="16">
        <f>[1]!MOVIMENTACOES[[#This Row],[COMISSÃO FINAL]]*([1]!MOVIMENTACOES[[#This Row],[PREÇO NET]]*[1]!MOVIMENTACOES[[#This Row],[Qtde]])</f>
        <v>4.6978400000000002</v>
      </c>
      <c r="N72" s="14" t="str">
        <f>_xlfn.XLOOKUP(LEFT([1]!MOVIMENTACOES[[#This Row],[Código]],3),'[1]BASE DE FABRICANTES'!A:A,'[1]BASE DE FABRICANTES'!B:B,"VERIFICAR",0,1)</f>
        <v>SPEC CHEM</v>
      </c>
      <c r="O72" s="14">
        <f>[1]!MOVIMENTACOES[[#This Row],[PREÇO NET]]*[1]!MOVIMENTACOES[[#This Row],[Qtde]]</f>
        <v>1174.46</v>
      </c>
      <c r="P72" s="17" t="s">
        <v>513</v>
      </c>
      <c r="Q72" s="17" t="s">
        <v>514</v>
      </c>
      <c r="R72" s="17" t="s">
        <v>49</v>
      </c>
      <c r="S72" s="17" t="s">
        <v>515</v>
      </c>
      <c r="T72" s="18">
        <v>46031</v>
      </c>
      <c r="U72" s="18" t="s">
        <v>507</v>
      </c>
      <c r="V72" s="17" t="s">
        <v>91</v>
      </c>
      <c r="W72" s="17"/>
      <c r="X72" s="17"/>
      <c r="Y72" s="17" t="s">
        <v>508</v>
      </c>
      <c r="Z72" s="17" t="s">
        <v>509</v>
      </c>
      <c r="AA72" s="17" t="s">
        <v>510</v>
      </c>
      <c r="AB72" s="17"/>
      <c r="AC72" s="17" t="s">
        <v>511</v>
      </c>
      <c r="AD72" s="17"/>
      <c r="AE72" s="17" t="s">
        <v>44</v>
      </c>
      <c r="AF72" s="17" t="s">
        <v>45</v>
      </c>
      <c r="AG72" s="17" t="s">
        <v>46</v>
      </c>
      <c r="AH72" s="17" t="s">
        <v>47</v>
      </c>
      <c r="AI72" s="17" t="s">
        <v>48</v>
      </c>
      <c r="AJ72" s="19">
        <v>3</v>
      </c>
      <c r="AK72" s="19">
        <v>5</v>
      </c>
      <c r="AL72" s="19">
        <v>0</v>
      </c>
      <c r="AM72" s="20">
        <v>134.39840000000001</v>
      </c>
      <c r="AN72" s="20">
        <v>495.51</v>
      </c>
      <c r="AO72" s="20">
        <v>403.1952</v>
      </c>
      <c r="AP72" s="20">
        <v>1486.53</v>
      </c>
      <c r="AQ72" s="20">
        <v>1486.53</v>
      </c>
      <c r="AR72" s="20">
        <v>267.58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/>
      <c r="AY72" s="20"/>
      <c r="AZ72" s="20"/>
      <c r="BA72" s="20">
        <v>0</v>
      </c>
      <c r="BB72" s="20">
        <v>0</v>
      </c>
      <c r="BC72" s="20">
        <v>0</v>
      </c>
      <c r="BD72" s="20">
        <v>1218.95</v>
      </c>
      <c r="BE72" s="20">
        <v>7.92</v>
      </c>
      <c r="BF72" s="20">
        <v>0</v>
      </c>
      <c r="BG72" s="20">
        <v>1218.95</v>
      </c>
      <c r="BH72" s="20">
        <v>36.57</v>
      </c>
      <c r="BI72" s="20">
        <v>0</v>
      </c>
      <c r="BJ72" s="20">
        <v>0</v>
      </c>
      <c r="BK72" s="20">
        <v>0</v>
      </c>
      <c r="BL72" s="17" t="s">
        <v>49</v>
      </c>
      <c r="BM72" s="17"/>
      <c r="BN72" s="17" t="s">
        <v>166</v>
      </c>
      <c r="BO72" s="17" t="s">
        <v>51</v>
      </c>
      <c r="BP72" s="17" t="s">
        <v>516</v>
      </c>
      <c r="BQ72" s="18">
        <v>46306</v>
      </c>
    </row>
    <row r="73" spans="1:69" x14ac:dyDescent="0.25">
      <c r="A73" s="11" t="str">
        <f>LEFT([1]!MOVIMENTACOES[[#This Row],[Código]],9)</f>
        <v>004003017</v>
      </c>
      <c r="B73" s="11" t="s">
        <v>149</v>
      </c>
      <c r="C73" s="11" t="str">
        <f>TRIM(IFERROR(LEFT([1]!MOVIMENTACOES[[#This Row],[Descrição]],SEARCH([1]!MOVIMENTACOES[[#This Row],[EMBALAGEM]],[1]!MOVIMENTACOES[[#This Row],[Descrição]],1)-1),[1]!MOVIMENTACOES[[#This Row],[Descrição]]))</f>
        <v>BN 11</v>
      </c>
      <c r="D73" s="11" t="str">
        <f>_xlfn.CONCAT([1]!MOVIMENTACOES[[#This Row],[FABRICANTE]],[1]!MOVIMENTACOES[[#This Row],[DESCRIÇÃO SEM EMBALAGEM]],[1]!MOVIMENTACOES[[#This Row],[Coluna1]])</f>
        <v>HOCK CHEMIEBN 111</v>
      </c>
      <c r="E73" s="12">
        <f>_xlfn.XLOOKUP([1]!MOVIMENTACOES[[#This Row],[CONCAT]],'[2]PRICE LIST'!$G:$G,'[2]PRICE LIST'!$Q:$Q,"VERIFICAR",0,1)</f>
        <v>148.88888888888891</v>
      </c>
      <c r="F73" s="13">
        <f>_xlfn.XLOOKUP([1]!MOVIMENTACOES[[#This Row],[Data]],[1]PTAX!A:A,[1]PTAX!C:C,"VERIFICAR",0,1)*[1]!MOVIMENTACOES[[#This Row],[PREÇO DE LISTA DOLAR]]</f>
        <v>799.54822222222231</v>
      </c>
      <c r="G73" s="14">
        <f>[1]!MOVIMENTACOES[[#This Row],[PREÇO NET]]-[1]!MOVIMENTACOES[[#This Row],[PREÇO DE LISTA REAL]]</f>
        <v>-374.01822222222228</v>
      </c>
      <c r="H73" s="15">
        <f>-[1]!MOVIMENTACOES[[#This Row],[DESCONTO CONCEDIDO]]/[1]!MOVIMENTACOES[[#This Row],[PREÇO DE LISTA REAL]]</f>
        <v>0.46778694746227523</v>
      </c>
      <c r="I7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425.53000000000003</v>
      </c>
      <c r="J73" s="15">
        <f>VLOOKUP([1]!MOVIMENTACOES[[#This Row],[DESC %]],[1]!DESC[#Data],2,TRUE)</f>
        <v>2.5000000000000001E-3</v>
      </c>
      <c r="K73" s="15">
        <f>_xlfn.XLOOKUP([1]!MOVIMENTACOES[[#This Row],[NF-e]],'[1]PEDIDOS E COMISSOES'!A:A,'[1]PEDIDOS E COMISSOES'!E:E,"VERIFICAR",0,1)</f>
        <v>0</v>
      </c>
      <c r="L73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73" s="16">
        <f>[1]!MOVIMENTACOES[[#This Row],[COMISSÃO FINAL]]*([1]!MOVIMENTACOES[[#This Row],[PREÇO NET]]*[1]!MOVIMENTACOES[[#This Row],[Qtde]])</f>
        <v>1.063825</v>
      </c>
      <c r="N73" s="14" t="str">
        <f>_xlfn.XLOOKUP(LEFT([1]!MOVIMENTACOES[[#This Row],[Código]],3),'[1]BASE DE FABRICANTES'!A:A,'[1]BASE DE FABRICANTES'!B:B,"VERIFICAR",0,1)</f>
        <v>HOCK CHEMIE</v>
      </c>
      <c r="O73" s="14">
        <f>[1]!MOVIMENTACOES[[#This Row],[PREÇO NET]]*[1]!MOVIMENTACOES[[#This Row],[Qtde]]</f>
        <v>425.53000000000003</v>
      </c>
      <c r="P73" s="3" t="s">
        <v>517</v>
      </c>
      <c r="Q73" s="3" t="s">
        <v>518</v>
      </c>
      <c r="R73" s="3" t="s">
        <v>49</v>
      </c>
      <c r="S73" s="3" t="s">
        <v>233</v>
      </c>
      <c r="T73" s="6">
        <v>46031</v>
      </c>
      <c r="U73" s="6" t="s">
        <v>519</v>
      </c>
      <c r="V73" s="3" t="s">
        <v>91</v>
      </c>
      <c r="W73" s="3"/>
      <c r="X73" s="3"/>
      <c r="Y73" s="3" t="s">
        <v>520</v>
      </c>
      <c r="Z73" s="3" t="s">
        <v>521</v>
      </c>
      <c r="AA73" s="3" t="s">
        <v>522</v>
      </c>
      <c r="AB73" s="3"/>
      <c r="AC73" s="3" t="s">
        <v>523</v>
      </c>
      <c r="AD73" s="3" t="s">
        <v>239</v>
      </c>
      <c r="AE73" s="3" t="s">
        <v>44</v>
      </c>
      <c r="AF73" s="3" t="s">
        <v>45</v>
      </c>
      <c r="AG73" s="3" t="s">
        <v>46</v>
      </c>
      <c r="AH73" s="3" t="s">
        <v>47</v>
      </c>
      <c r="AI73" s="3" t="s">
        <v>48</v>
      </c>
      <c r="AJ73" s="4">
        <v>1</v>
      </c>
      <c r="AK73" s="4">
        <v>2</v>
      </c>
      <c r="AL73" s="4">
        <v>0</v>
      </c>
      <c r="AM73" s="5">
        <v>265.322</v>
      </c>
      <c r="AN73" s="5">
        <v>538.6</v>
      </c>
      <c r="AO73" s="5">
        <v>265.322</v>
      </c>
      <c r="AP73" s="5">
        <v>538.6</v>
      </c>
      <c r="AQ73" s="5">
        <v>538.6</v>
      </c>
      <c r="AR73" s="5">
        <v>96.95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/>
      <c r="AY73" s="5"/>
      <c r="AZ73" s="5"/>
      <c r="BA73" s="5">
        <v>0</v>
      </c>
      <c r="BB73" s="5">
        <v>0</v>
      </c>
      <c r="BC73" s="5">
        <v>0</v>
      </c>
      <c r="BD73" s="5">
        <v>441.65</v>
      </c>
      <c r="BE73" s="5">
        <v>2.87</v>
      </c>
      <c r="BF73" s="5">
        <v>0</v>
      </c>
      <c r="BG73" s="5">
        <v>441.65</v>
      </c>
      <c r="BH73" s="5">
        <v>13.25</v>
      </c>
      <c r="BI73" s="5">
        <v>0</v>
      </c>
      <c r="BJ73" s="5">
        <v>0</v>
      </c>
      <c r="BK73" s="5">
        <v>0</v>
      </c>
      <c r="BL73" s="3" t="s">
        <v>49</v>
      </c>
      <c r="BM73" s="3"/>
      <c r="BN73" s="3" t="s">
        <v>166</v>
      </c>
      <c r="BO73" s="3" t="s">
        <v>51</v>
      </c>
      <c r="BP73" s="3" t="s">
        <v>524</v>
      </c>
      <c r="BQ73" s="6">
        <v>46061</v>
      </c>
    </row>
    <row r="74" spans="1:69" x14ac:dyDescent="0.25">
      <c r="A74" s="11" t="str">
        <f>LEFT([1]!MOVIMENTACOES[[#This Row],[Código]],9)</f>
        <v>090004001</v>
      </c>
      <c r="B74" s="11" t="s">
        <v>149</v>
      </c>
      <c r="C74" s="11" t="str">
        <f>TRIM(IFERROR(LEFT([1]!MOVIMENTACOES[[#This Row],[Descrição]],SEARCH([1]!MOVIMENTACOES[[#This Row],[EMBALAGEM]],[1]!MOVIMENTACOES[[#This Row],[Descrição]],1)-1),[1]!MOVIMENTACOES[[#This Row],[Descrição]]))</f>
        <v>WKPEP LIP-THICKENIN</v>
      </c>
      <c r="D74" s="11" t="str">
        <f>_xlfn.CONCAT([1]!MOVIMENTACOES[[#This Row],[FABRICANTE]],[1]!MOVIMENTACOES[[#This Row],[DESCRIÇÃO SEM EMBALAGEM]],[1]!MOVIMENTACOES[[#This Row],[Coluna1]])</f>
        <v>WINKEYWKPEP LIP-THICKENIN1</v>
      </c>
      <c r="E74" s="12">
        <f>_xlfn.XLOOKUP([1]!MOVIMENTACOES[[#This Row],[CONCAT]],'[2]PRICE LIST'!$G:$G,'[2]PRICE LIST'!$Q:$Q,"VERIFICAR",0,1)</f>
        <v>1338.7253333333333</v>
      </c>
      <c r="F74" s="13">
        <f>_xlfn.XLOOKUP([1]!MOVIMENTACOES[[#This Row],[Data]],[1]PTAX!A:A,[1]PTAX!C:C,"VERIFICAR",0,1)*[1]!MOVIMENTACOES[[#This Row],[PREÇO DE LISTA DOLAR]]</f>
        <v>7189.0889125333333</v>
      </c>
      <c r="G74" s="14">
        <f>[1]!MOVIMENTACOES[[#This Row],[PREÇO NET]]-[1]!MOVIMENTACOES[[#This Row],[PREÇO DE LISTA REAL]]</f>
        <v>-4093.5469125333334</v>
      </c>
      <c r="H74" s="15">
        <f>-[1]!MOVIMENTACOES[[#This Row],[DESCONTO CONCEDIDO]]/[1]!MOVIMENTACOES[[#This Row],[PREÇO DE LISTA REAL]]</f>
        <v>0.56941108426086018</v>
      </c>
      <c r="I7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3095.5419999999999</v>
      </c>
      <c r="J74" s="15">
        <f>VLOOKUP([1]!MOVIMENTACOES[[#This Row],[DESC %]],[1]!DESC[#Data],2,TRUE)</f>
        <v>2.5000000000000001E-3</v>
      </c>
      <c r="K74" s="15">
        <f>_xlfn.XLOOKUP([1]!MOVIMENTACOES[[#This Row],[NF-e]],'[1]PEDIDOS E COMISSOES'!A:A,'[1]PEDIDOS E COMISSOES'!E:E,"VERIFICAR",0,1)</f>
        <v>-4.0000000000000001E-3</v>
      </c>
      <c r="L74" s="15">
        <f>IF([1]!MOVIMENTACOES[[#This Row],[PERCENTUAL DE COMISSÕES]]+[1]!MOVIMENTACOES[[#This Row],[AJUSTE COMISSÃO]]&lt;0.06%,0.05%,[1]!MOVIMENTACOES[[#This Row],[PERCENTUAL DE COMISSÕES]]+[1]!MOVIMENTACOES[[#This Row],[AJUSTE COMISSÃO]])</f>
        <v>5.0000000000000001E-4</v>
      </c>
      <c r="M74" s="16">
        <f>[1]!MOVIMENTACOES[[#This Row],[COMISSÃO FINAL]]*([1]!MOVIMENTACOES[[#This Row],[PREÇO NET]]*[1]!MOVIMENTACOES[[#This Row],[Qtde]])</f>
        <v>7.738855</v>
      </c>
      <c r="N74" s="14" t="str">
        <f>_xlfn.XLOOKUP(LEFT([1]!MOVIMENTACOES[[#This Row],[Código]],3),'[1]BASE DE FABRICANTES'!A:A,'[1]BASE DE FABRICANTES'!B:B,"VERIFICAR",0,1)</f>
        <v>WINKEY</v>
      </c>
      <c r="O74" s="14">
        <f>[1]!MOVIMENTACOES[[#This Row],[PREÇO NET]]*[1]!MOVIMENTACOES[[#This Row],[Qtde]]</f>
        <v>15477.71</v>
      </c>
      <c r="P74" s="17" t="s">
        <v>525</v>
      </c>
      <c r="Q74" s="17" t="s">
        <v>526</v>
      </c>
      <c r="R74" s="17" t="s">
        <v>49</v>
      </c>
      <c r="S74" s="17" t="s">
        <v>444</v>
      </c>
      <c r="T74" s="18">
        <v>46031</v>
      </c>
      <c r="U74" s="18" t="s">
        <v>527</v>
      </c>
      <c r="V74" s="17" t="s">
        <v>91</v>
      </c>
      <c r="W74" s="17"/>
      <c r="X74" s="17"/>
      <c r="Y74" s="17" t="s">
        <v>528</v>
      </c>
      <c r="Z74" s="17" t="s">
        <v>529</v>
      </c>
      <c r="AA74" s="17" t="s">
        <v>530</v>
      </c>
      <c r="AB74" s="17"/>
      <c r="AC74" s="17" t="s">
        <v>531</v>
      </c>
      <c r="AD74" s="17" t="s">
        <v>445</v>
      </c>
      <c r="AE74" s="17" t="s">
        <v>44</v>
      </c>
      <c r="AF74" s="17" t="s">
        <v>45</v>
      </c>
      <c r="AG74" s="17" t="s">
        <v>46</v>
      </c>
      <c r="AH74" s="17" t="s">
        <v>47</v>
      </c>
      <c r="AI74" s="17" t="s">
        <v>48</v>
      </c>
      <c r="AJ74" s="19">
        <v>5</v>
      </c>
      <c r="AK74" s="19">
        <v>12</v>
      </c>
      <c r="AL74" s="19">
        <v>0</v>
      </c>
      <c r="AM74" s="20">
        <v>2198.7315514454999</v>
      </c>
      <c r="AN74" s="20">
        <v>3918.06</v>
      </c>
      <c r="AO74" s="20">
        <v>10993.6577572275</v>
      </c>
      <c r="AP74" s="20">
        <v>19590.3</v>
      </c>
      <c r="AQ74" s="20">
        <v>19590.3</v>
      </c>
      <c r="AR74" s="20">
        <v>3526.25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/>
      <c r="AY74" s="20"/>
      <c r="AZ74" s="20"/>
      <c r="BA74" s="20">
        <v>0</v>
      </c>
      <c r="BB74" s="20">
        <v>0</v>
      </c>
      <c r="BC74" s="20">
        <v>0</v>
      </c>
      <c r="BD74" s="20">
        <v>16064.05</v>
      </c>
      <c r="BE74" s="20">
        <v>104.42</v>
      </c>
      <c r="BF74" s="20">
        <v>0</v>
      </c>
      <c r="BG74" s="20">
        <v>16064.05</v>
      </c>
      <c r="BH74" s="20">
        <v>481.92</v>
      </c>
      <c r="BI74" s="20">
        <v>0</v>
      </c>
      <c r="BJ74" s="20">
        <v>0</v>
      </c>
      <c r="BK74" s="20">
        <v>0</v>
      </c>
      <c r="BL74" s="17" t="s">
        <v>49</v>
      </c>
      <c r="BM74" s="17"/>
      <c r="BN74" s="17" t="s">
        <v>55</v>
      </c>
      <c r="BO74" s="17" t="s">
        <v>51</v>
      </c>
      <c r="BP74" s="17" t="s">
        <v>532</v>
      </c>
      <c r="BQ74" s="18">
        <v>46585</v>
      </c>
    </row>
    <row r="75" spans="1:69" x14ac:dyDescent="0.25">
      <c r="A75" s="11" t="str">
        <f>LEFT([1]!MOVIMENTACOES[[#This Row],[Código]],9)</f>
        <v>030004008</v>
      </c>
      <c r="B75" s="11" t="s">
        <v>204</v>
      </c>
      <c r="C75" s="11" t="str">
        <f>TRIM(IFERROR(LEFT([1]!MOVIMENTACOES[[#This Row],[Descrição]],SEARCH([1]!MOVIMENTACOES[[#This Row],[EMBALAGEM]],[1]!MOVIMENTACOES[[#This Row],[Descrição]],1)-1),[1]!MOVIMENTACOES[[#This Row],[Descrição]]))</f>
        <v>TRANEXAMIC ACID</v>
      </c>
      <c r="D75" s="11" t="str">
        <f>_xlfn.CONCAT([1]!MOVIMENTACOES[[#This Row],[FABRICANTE]],[1]!MOVIMENTACOES[[#This Row],[DESCRIÇÃO SEM EMBALAGEM]],[1]!MOVIMENTACOES[[#This Row],[Coluna1]])</f>
        <v>SPEC CHEMTRANEXAMIC ACID25</v>
      </c>
      <c r="E75" s="12">
        <f>_xlfn.XLOOKUP([1]!MOVIMENTACOES[[#This Row],[CONCAT]],'[2]PRICE LIST'!$G:$G,'[2]PRICE LIST'!$Q:$Q,"VERIFICAR",0,1)</f>
        <v>200.02599999999998</v>
      </c>
      <c r="F75" s="13">
        <f>_xlfn.XLOOKUP([1]!MOVIMENTACOES[[#This Row],[Data]],[1]PTAX!A:A,[1]PTAX!C:C,"VERIFICAR",0,1)*[1]!MOVIMENTACOES[[#This Row],[PREÇO DE LISTA DOLAR]]</f>
        <v>1075.2197603999998</v>
      </c>
      <c r="G75" s="14">
        <f>[1]!MOVIMENTACOES[[#This Row],[PREÇO NET]]-[1]!MOVIMENTACOES[[#This Row],[PREÇO DE LISTA REAL]]</f>
        <v>281.8046396000002</v>
      </c>
      <c r="H75" s="15">
        <f>-[1]!MOVIMENTACOES[[#This Row],[DESCONTO CONCEDIDO]]/[1]!MOVIMENTACOES[[#This Row],[PREÇO DE LISTA REAL]]</f>
        <v>-0.26209027212740599</v>
      </c>
      <c r="I7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1357.0244</v>
      </c>
      <c r="J75" s="15">
        <f>VLOOKUP([1]!MOVIMENTACOES[[#This Row],[DESC %]],[1]!DESC[#Data],2,TRUE)</f>
        <v>0.01</v>
      </c>
      <c r="K75" s="15">
        <f>_xlfn.XLOOKUP([1]!MOVIMENTACOES[[#This Row],[NF-e]],'[1]PEDIDOS E COMISSOES'!A:A,'[1]PEDIDOS E COMISSOES'!E:E,"VERIFICAR",0,1)</f>
        <v>-1E-3</v>
      </c>
      <c r="L75" s="15">
        <f>IF([1]!MOVIMENTACOES[[#This Row],[PERCENTUAL DE COMISSÕES]]+[1]!MOVIMENTACOES[[#This Row],[AJUSTE COMISSÃO]]&lt;0.06%,0.05%,[1]!MOVIMENTACOES[[#This Row],[PERCENTUAL DE COMISSÕES]]+[1]!MOVIMENTACOES[[#This Row],[AJUSTE COMISSÃO]])</f>
        <v>9.0000000000000011E-3</v>
      </c>
      <c r="M75" s="16">
        <f>[1]!MOVIMENTACOES[[#This Row],[COMISSÃO FINAL]]*([1]!MOVIMENTACOES[[#This Row],[PREÇO NET]]*[1]!MOVIMENTACOES[[#This Row],[Qtde]])</f>
        <v>305.33049000000005</v>
      </c>
      <c r="N75" s="14" t="str">
        <f>_xlfn.XLOOKUP(LEFT([1]!MOVIMENTACOES[[#This Row],[Código]],3),'[1]BASE DE FABRICANTES'!A:A,'[1]BASE DE FABRICANTES'!B:B,"VERIFICAR",0,1)</f>
        <v>SPEC CHEM</v>
      </c>
      <c r="O75" s="14">
        <f>[1]!MOVIMENTACOES[[#This Row],[PREÇO NET]]*[1]!MOVIMENTACOES[[#This Row],[Qtde]]</f>
        <v>33925.61</v>
      </c>
      <c r="P75" s="3" t="s">
        <v>533</v>
      </c>
      <c r="Q75" s="3" t="s">
        <v>534</v>
      </c>
      <c r="R75" s="3" t="s">
        <v>49</v>
      </c>
      <c r="S75" s="3" t="s">
        <v>535</v>
      </c>
      <c r="T75" s="6">
        <v>46034</v>
      </c>
      <c r="U75" s="6" t="s">
        <v>536</v>
      </c>
      <c r="V75" s="3" t="s">
        <v>91</v>
      </c>
      <c r="W75" s="3"/>
      <c r="X75" s="3"/>
      <c r="Y75" s="3" t="s">
        <v>537</v>
      </c>
      <c r="Z75" s="3" t="s">
        <v>538</v>
      </c>
      <c r="AA75" s="3" t="s">
        <v>539</v>
      </c>
      <c r="AB75" s="3"/>
      <c r="AC75" s="3" t="s">
        <v>53</v>
      </c>
      <c r="AD75" s="3" t="s">
        <v>165</v>
      </c>
      <c r="AE75" s="3" t="s">
        <v>44</v>
      </c>
      <c r="AF75" s="3" t="s">
        <v>45</v>
      </c>
      <c r="AG75" s="3" t="s">
        <v>46</v>
      </c>
      <c r="AH75" s="3" t="s">
        <v>47</v>
      </c>
      <c r="AI75" s="3" t="s">
        <v>48</v>
      </c>
      <c r="AJ75" s="4">
        <v>25</v>
      </c>
      <c r="AK75" s="4">
        <v>250</v>
      </c>
      <c r="AL75" s="4">
        <v>0</v>
      </c>
      <c r="AM75" s="5">
        <v>411.8940935219</v>
      </c>
      <c r="AN75" s="5">
        <v>1717.6</v>
      </c>
      <c r="AO75" s="5">
        <v>10297.3523380475</v>
      </c>
      <c r="AP75" s="5">
        <v>42940</v>
      </c>
      <c r="AQ75" s="5">
        <v>42940</v>
      </c>
      <c r="AR75" s="5">
        <v>7729.2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/>
      <c r="AY75" s="5"/>
      <c r="AZ75" s="5"/>
      <c r="BA75" s="5">
        <v>0</v>
      </c>
      <c r="BB75" s="5">
        <v>0</v>
      </c>
      <c r="BC75" s="5">
        <v>0</v>
      </c>
      <c r="BD75" s="5">
        <v>35210.800000000003</v>
      </c>
      <c r="BE75" s="5">
        <v>228.87</v>
      </c>
      <c r="BF75" s="5">
        <v>0</v>
      </c>
      <c r="BG75" s="5">
        <v>35210.800000000003</v>
      </c>
      <c r="BH75" s="5">
        <v>1056.32</v>
      </c>
      <c r="BI75" s="5">
        <v>0</v>
      </c>
      <c r="BJ75" s="5">
        <v>0</v>
      </c>
      <c r="BK75" s="5">
        <v>0</v>
      </c>
      <c r="BL75" s="3" t="s">
        <v>49</v>
      </c>
      <c r="BM75" s="3"/>
      <c r="BN75" s="3" t="s">
        <v>97</v>
      </c>
      <c r="BO75" s="3" t="s">
        <v>51</v>
      </c>
      <c r="BP75" s="3" t="s">
        <v>540</v>
      </c>
      <c r="BQ75" s="6">
        <v>46894</v>
      </c>
    </row>
    <row r="76" spans="1:69" x14ac:dyDescent="0.25">
      <c r="A76" s="11" t="str">
        <f>LEFT([1]!MOVIMENTACOES[[#This Row],[Código]],9)</f>
        <v>030004015</v>
      </c>
      <c r="B76" s="11" t="s">
        <v>99</v>
      </c>
      <c r="C76" s="11" t="str">
        <f>TRIM(IFERROR(LEFT([1]!MOVIMENTACOES[[#This Row],[Descrição]],SEARCH([1]!MOVIMENTACOES[[#This Row],[EMBALAGEM]],[1]!MOVIMENTACOES[[#This Row],[Descrição]],1)-1),[1]!MOVIMENTACOES[[#This Row],[Descrição]]))</f>
        <v>GLYCOLIC ACID 70%</v>
      </c>
      <c r="D76" s="11" t="str">
        <f>_xlfn.CONCAT([1]!MOVIMENTACOES[[#This Row],[FABRICANTE]],[1]!MOVIMENTACOES[[#This Row],[DESCRIÇÃO SEM EMBALAGEM]],[1]!MOVIMENTACOES[[#This Row],[Coluna1]])</f>
        <v>SPEC CHEMGLYCOLIC ACID 70%5</v>
      </c>
      <c r="E76" s="12">
        <f>_xlfn.XLOOKUP([1]!MOVIMENTACOES[[#This Row],[CONCAT]],'[2]PRICE LIST'!$G:$G,'[2]PRICE LIST'!$Q:$Q,"VERIFICAR",0,1)</f>
        <v>19.604000000000003</v>
      </c>
      <c r="F76" s="13">
        <f>_xlfn.XLOOKUP([1]!MOVIMENTACOES[[#This Row],[Data]],[1]PTAX!A:A,[1]PTAX!C:C,"VERIFICAR",0,1)*[1]!MOVIMENTACOES[[#This Row],[PREÇO DE LISTA DOLAR]]</f>
        <v>105.37934160000002</v>
      </c>
      <c r="G76" s="14">
        <f>[1]!MOVIMENTACOES[[#This Row],[PREÇO NET]]-[1]!MOVIMENTACOES[[#This Row],[PREÇO DE LISTA REAL]]</f>
        <v>-13.305341600000006</v>
      </c>
      <c r="H76" s="15">
        <f>-[1]!MOVIMENTACOES[[#This Row],[DESCONTO CONCEDIDO]]/[1]!MOVIMENTACOES[[#This Row],[PREÇO DE LISTA REAL]]</f>
        <v>0.12626138480257884</v>
      </c>
      <c r="I7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92.074000000000012</v>
      </c>
      <c r="J76" s="15">
        <f>VLOOKUP([1]!MOVIMENTACOES[[#This Row],[DESC %]],[1]!DESC[#Data],2,TRUE)</f>
        <v>5.0000000000000001E-3</v>
      </c>
      <c r="K76" s="15">
        <f>_xlfn.XLOOKUP([1]!MOVIMENTACOES[[#This Row],[NF-e]],'[1]PEDIDOS E COMISSOES'!A:A,'[1]PEDIDOS E COMISSOES'!E:E,"VERIFICAR",0,1)</f>
        <v>-5.0000000000000001E-4</v>
      </c>
      <c r="L76" s="15">
        <f>IF([1]!MOVIMENTACOES[[#This Row],[PERCENTUAL DE COMISSÕES]]+[1]!MOVIMENTACOES[[#This Row],[AJUSTE COMISSÃO]]&lt;0.06%,0.05%,[1]!MOVIMENTACOES[[#This Row],[PERCENTUAL DE COMISSÕES]]+[1]!MOVIMENTACOES[[#This Row],[AJUSTE COMISSÃO]])</f>
        <v>4.5000000000000005E-3</v>
      </c>
      <c r="M76" s="16">
        <f>[1]!MOVIMENTACOES[[#This Row],[COMISSÃO FINAL]]*([1]!MOVIMENTACOES[[#This Row],[PREÇO NET]]*[1]!MOVIMENTACOES[[#This Row],[Qtde]])</f>
        <v>2.0716650000000003</v>
      </c>
      <c r="N76" s="14" t="str">
        <f>_xlfn.XLOOKUP(LEFT([1]!MOVIMENTACOES[[#This Row],[Código]],3),'[1]BASE DE FABRICANTES'!A:A,'[1]BASE DE FABRICANTES'!B:B,"VERIFICAR",0,1)</f>
        <v>SPEC CHEM</v>
      </c>
      <c r="O76" s="14">
        <f>[1]!MOVIMENTACOES[[#This Row],[PREÇO NET]]*[1]!MOVIMENTACOES[[#This Row],[Qtde]]</f>
        <v>460.37000000000006</v>
      </c>
      <c r="P76" s="17" t="s">
        <v>541</v>
      </c>
      <c r="Q76" s="17" t="s">
        <v>542</v>
      </c>
      <c r="R76" s="17" t="s">
        <v>49</v>
      </c>
      <c r="S76" s="17" t="s">
        <v>543</v>
      </c>
      <c r="T76" s="18">
        <v>46034</v>
      </c>
      <c r="U76" s="18" t="s">
        <v>544</v>
      </c>
      <c r="V76" s="17" t="s">
        <v>91</v>
      </c>
      <c r="W76" s="17"/>
      <c r="X76" s="17"/>
      <c r="Y76" s="17" t="s">
        <v>545</v>
      </c>
      <c r="Z76" s="17" t="s">
        <v>546</v>
      </c>
      <c r="AA76" s="17" t="s">
        <v>547</v>
      </c>
      <c r="AB76" s="17"/>
      <c r="AC76" s="17" t="s">
        <v>548</v>
      </c>
      <c r="AD76" s="17"/>
      <c r="AE76" s="17" t="s">
        <v>44</v>
      </c>
      <c r="AF76" s="17" t="s">
        <v>45</v>
      </c>
      <c r="AG76" s="17" t="s">
        <v>46</v>
      </c>
      <c r="AH76" s="17" t="s">
        <v>47</v>
      </c>
      <c r="AI76" s="17" t="s">
        <v>48</v>
      </c>
      <c r="AJ76" s="19">
        <v>5</v>
      </c>
      <c r="AK76" s="19">
        <v>110</v>
      </c>
      <c r="AL76" s="19">
        <v>0</v>
      </c>
      <c r="AM76" s="20">
        <v>29.9485766552</v>
      </c>
      <c r="AN76" s="20">
        <v>116.54</v>
      </c>
      <c r="AO76" s="20">
        <v>149.74288327599999</v>
      </c>
      <c r="AP76" s="20">
        <v>582.70000000000005</v>
      </c>
      <c r="AQ76" s="20">
        <v>582.70000000000005</v>
      </c>
      <c r="AR76" s="20">
        <v>104.89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/>
      <c r="AY76" s="20"/>
      <c r="AZ76" s="20"/>
      <c r="BA76" s="20">
        <v>0</v>
      </c>
      <c r="BB76" s="20">
        <v>0</v>
      </c>
      <c r="BC76" s="20">
        <v>0</v>
      </c>
      <c r="BD76" s="20">
        <v>477.81</v>
      </c>
      <c r="BE76" s="20">
        <v>3.11</v>
      </c>
      <c r="BF76" s="20">
        <v>0</v>
      </c>
      <c r="BG76" s="20">
        <v>477.81</v>
      </c>
      <c r="BH76" s="20">
        <v>14.33</v>
      </c>
      <c r="BI76" s="20">
        <v>0</v>
      </c>
      <c r="BJ76" s="20">
        <v>0</v>
      </c>
      <c r="BK76" s="20">
        <v>0</v>
      </c>
      <c r="BL76" s="17" t="s">
        <v>49</v>
      </c>
      <c r="BM76" s="17"/>
      <c r="BN76" s="17" t="s">
        <v>166</v>
      </c>
      <c r="BO76" s="17" t="s">
        <v>51</v>
      </c>
      <c r="BP76" s="17" t="s">
        <v>549</v>
      </c>
      <c r="BQ76" s="18">
        <v>46515</v>
      </c>
    </row>
    <row r="77" spans="1:69" x14ac:dyDescent="0.25">
      <c r="A77" s="11" t="str">
        <f>LEFT([1]!MOVIMENTACOES[[#This Row],[Código]],9)</f>
        <v>025004001</v>
      </c>
      <c r="B77" s="11" t="s">
        <v>550</v>
      </c>
      <c r="C77" s="11" t="str">
        <f>TRIM(IFERROR(LEFT([1]!MOVIMENTACOES[[#This Row],[Descrição]],SEARCH([1]!MOVIMENTACOES[[#This Row],[EMBALAGEM]],[1]!MOVIMENTACOES[[#This Row],[Descrição]],1)-1),[1]!MOVIMENTACOES[[#This Row],[Descrição]]))</f>
        <v>DENATONIUM BENZOATE SOLUTION 25% w/w ETHANOL Abs</v>
      </c>
      <c r="D77" s="11" t="str">
        <f>_xlfn.CONCAT([1]!MOVIMENTACOES[[#This Row],[FABRICANTE]],[1]!MOVIMENTACOES[[#This Row],[DESCRIÇÃO SEM EMBALAGEM]],[1]!MOVIMENTACOES[[#This Row],[Coluna1]])</f>
        <v>SENTINALCODENATONIUM BENZOATE SOLUTION 25% w/w ETHANOL Abs0,8</v>
      </c>
      <c r="E77" s="12">
        <f>_xlfn.XLOOKUP([1]!MOVIMENTACOES[[#This Row],[CONCAT]],'[2]PRICE LIST'!$G:$G,'[2]PRICE LIST'!$Q:$Q,"VERIFICAR",0,1)</f>
        <v>257.55</v>
      </c>
      <c r="F77" s="13">
        <f>_xlfn.XLOOKUP([1]!MOVIMENTACOES[[#This Row],[Data]],[1]PTAX!A:A,[1]PTAX!C:C,"VERIFICAR",0,1)*[1]!MOVIMENTACOES[[#This Row],[PREÇO DE LISTA DOLAR]]</f>
        <v>1384.43427</v>
      </c>
      <c r="G77" s="14">
        <f>[1]!MOVIMENTACOES[[#This Row],[PREÇO NET]]-[1]!MOVIMENTACOES[[#This Row],[PREÇO DE LISTA REAL]]</f>
        <v>-68.746769999999742</v>
      </c>
      <c r="H77" s="15">
        <f>-[1]!MOVIMENTACOES[[#This Row],[DESCONTO CONCEDIDO]]/[1]!MOVIMENTACOES[[#This Row],[PREÇO DE LISTA REAL]]</f>
        <v>4.9656940376085708E-2</v>
      </c>
      <c r="I7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1315.6875000000002</v>
      </c>
      <c r="J77" s="15">
        <f>VLOOKUP([1]!MOVIMENTACOES[[#This Row],[DESC %]],[1]!DESC[#Data],2,TRUE)</f>
        <v>8.9999999999999993E-3</v>
      </c>
      <c r="K77" s="15">
        <f>_xlfn.XLOOKUP([1]!MOVIMENTACOES[[#This Row],[NF-e]],'[1]PEDIDOS E COMISSOES'!A:A,'[1]PEDIDOS E COMISSOES'!E:E,"VERIFICAR",0,1)</f>
        <v>2E-3</v>
      </c>
      <c r="L77" s="15">
        <f>IF([1]!MOVIMENTACOES[[#This Row],[PERCENTUAL DE COMISSÕES]]+[1]!MOVIMENTACOES[[#This Row],[AJUSTE COMISSÃO]]&lt;0.06%,0.05%,[1]!MOVIMENTACOES[[#This Row],[PERCENTUAL DE COMISSÕES]]+[1]!MOVIMENTACOES[[#This Row],[AJUSTE COMISSÃO]])</f>
        <v>1.0999999999999999E-2</v>
      </c>
      <c r="M77" s="16">
        <f>[1]!MOVIMENTACOES[[#This Row],[COMISSÃO FINAL]]*([1]!MOVIMENTACOES[[#This Row],[PREÇO NET]]*[1]!MOVIMENTACOES[[#This Row],[Qtde]])</f>
        <v>11.578050000000001</v>
      </c>
      <c r="N77" s="14" t="str">
        <f>_xlfn.XLOOKUP(LEFT([1]!MOVIMENTACOES[[#This Row],[Código]],3),'[1]BASE DE FABRICANTES'!A:A,'[1]BASE DE FABRICANTES'!B:B,"VERIFICAR",0,1)</f>
        <v>SENTINALCO</v>
      </c>
      <c r="O77" s="14">
        <f>[1]!MOVIMENTACOES[[#This Row],[PREÇO NET]]*[1]!MOVIMENTACOES[[#This Row],[Qtde]]</f>
        <v>1052.5500000000002</v>
      </c>
      <c r="P77" s="3" t="s">
        <v>551</v>
      </c>
      <c r="Q77" s="3" t="s">
        <v>552</v>
      </c>
      <c r="R77" s="3" t="s">
        <v>49</v>
      </c>
      <c r="S77" s="3" t="s">
        <v>553</v>
      </c>
      <c r="T77" s="6">
        <v>46034</v>
      </c>
      <c r="U77" s="6" t="s">
        <v>554</v>
      </c>
      <c r="V77" s="3" t="s">
        <v>91</v>
      </c>
      <c r="W77" s="3"/>
      <c r="X77" s="3"/>
      <c r="Y77" s="3" t="s">
        <v>555</v>
      </c>
      <c r="Z77" s="3" t="s">
        <v>556</v>
      </c>
      <c r="AA77" s="3" t="s">
        <v>557</v>
      </c>
      <c r="AB77" s="3"/>
      <c r="AC77" s="3" t="s">
        <v>558</v>
      </c>
      <c r="AD77" s="3" t="s">
        <v>559</v>
      </c>
      <c r="AE77" s="3" t="s">
        <v>44</v>
      </c>
      <c r="AF77" s="3" t="s">
        <v>45</v>
      </c>
      <c r="AG77" s="3" t="s">
        <v>46</v>
      </c>
      <c r="AH77" s="3" t="s">
        <v>116</v>
      </c>
      <c r="AI77" s="3" t="s">
        <v>110</v>
      </c>
      <c r="AJ77" s="4">
        <v>0.8</v>
      </c>
      <c r="AK77" s="4">
        <v>8.8000000000000007</v>
      </c>
      <c r="AL77" s="4">
        <v>0</v>
      </c>
      <c r="AM77" s="5">
        <v>834.17552083329997</v>
      </c>
      <c r="AN77" s="5">
        <v>1422.425</v>
      </c>
      <c r="AO77" s="5">
        <v>667.34041666663995</v>
      </c>
      <c r="AP77" s="5">
        <v>1137.94</v>
      </c>
      <c r="AQ77" s="5">
        <v>1137.94</v>
      </c>
      <c r="AR77" s="5">
        <v>45.52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/>
      <c r="AY77" s="5"/>
      <c r="AZ77" s="5"/>
      <c r="BA77" s="5">
        <v>0</v>
      </c>
      <c r="BB77" s="5">
        <v>0</v>
      </c>
      <c r="BC77" s="5">
        <v>0</v>
      </c>
      <c r="BD77" s="5">
        <v>1092.42</v>
      </c>
      <c r="BE77" s="5">
        <v>7.1</v>
      </c>
      <c r="BF77" s="5">
        <v>0</v>
      </c>
      <c r="BG77" s="5">
        <v>1092.42</v>
      </c>
      <c r="BH77" s="5">
        <v>32.770000000000003</v>
      </c>
      <c r="BI77" s="5">
        <v>0</v>
      </c>
      <c r="BJ77" s="5">
        <v>0</v>
      </c>
      <c r="BK77" s="5">
        <v>0</v>
      </c>
      <c r="BL77" s="3" t="s">
        <v>49</v>
      </c>
      <c r="BM77" s="3"/>
      <c r="BN77" s="3" t="s">
        <v>97</v>
      </c>
      <c r="BO77" s="3" t="s">
        <v>51</v>
      </c>
      <c r="BP77" s="3" t="s">
        <v>560</v>
      </c>
      <c r="BQ77" s="6">
        <v>46507</v>
      </c>
    </row>
    <row r="78" spans="1:69" x14ac:dyDescent="0.25">
      <c r="A78" s="11" t="str">
        <f>LEFT([1]!MOVIMENTACOES[[#This Row],[Código]],9)</f>
        <v>030004008</v>
      </c>
      <c r="B78" s="11" t="s">
        <v>149</v>
      </c>
      <c r="C78" s="11" t="str">
        <f>TRIM(IFERROR(LEFT([1]!MOVIMENTACOES[[#This Row],[Descrição]],SEARCH([1]!MOVIMENTACOES[[#This Row],[EMBALAGEM]],[1]!MOVIMENTACOES[[#This Row],[Descrição]],1)-1),[1]!MOVIMENTACOES[[#This Row],[Descrição]]))</f>
        <v>TRANEXAMIC ACID</v>
      </c>
      <c r="D78" s="11" t="str">
        <f>_xlfn.CONCAT([1]!MOVIMENTACOES[[#This Row],[FABRICANTE]],[1]!MOVIMENTACOES[[#This Row],[DESCRIÇÃO SEM EMBALAGEM]],[1]!MOVIMENTACOES[[#This Row],[Coluna1]])</f>
        <v>SPEC CHEMTRANEXAMIC ACID1</v>
      </c>
      <c r="E78" s="12">
        <f>_xlfn.XLOOKUP([1]!MOVIMENTACOES[[#This Row],[CONCAT]],'[2]PRICE LIST'!$G:$G,'[2]PRICE LIST'!$Q:$Q,"VERIFICAR",0,1)</f>
        <v>346.49843750000002</v>
      </c>
      <c r="F78" s="13">
        <f>_xlfn.XLOOKUP([1]!MOVIMENTACOES[[#This Row],[Data]],[1]PTAX!A:A,[1]PTAX!C:C,"VERIFICAR",0,1)*[1]!MOVIMENTACOES[[#This Row],[PREÇO DE LISTA DOLAR]]</f>
        <v>1862.5677009375001</v>
      </c>
      <c r="G78" s="14">
        <f>[1]!MOVIMENTACOES[[#This Row],[PREÇO NET]]-[1]!MOVIMENTACOES[[#This Row],[PREÇO DE LISTA REAL]]</f>
        <v>-505.54170093750031</v>
      </c>
      <c r="H78" s="15">
        <f>-[1]!MOVIMENTACOES[[#This Row],[DESCONTO CONCEDIDO]]/[1]!MOVIMENTACOES[[#This Row],[PREÇO DE LISTA REAL]]</f>
        <v>0.27142191968809631</v>
      </c>
      <c r="I7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1357.0259999999998</v>
      </c>
      <c r="J78" s="15">
        <f>VLOOKUP([1]!MOVIMENTACOES[[#This Row],[DESC %]],[1]!DESC[#Data],2,TRUE)</f>
        <v>2.5000000000000001E-3</v>
      </c>
      <c r="K78" s="15">
        <f>_xlfn.XLOOKUP([1]!MOVIMENTACOES[[#This Row],[NF-e]],'[1]PEDIDOS E COMISSOES'!A:A,'[1]PEDIDOS E COMISSOES'!E:E,"VERIFICAR",0,1)</f>
        <v>-1E-3</v>
      </c>
      <c r="L78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78" s="16">
        <f>[1]!MOVIMENTACOES[[#This Row],[COMISSÃO FINAL]]*([1]!MOVIMENTACOES[[#This Row],[PREÇO NET]]*[1]!MOVIMENTACOES[[#This Row],[Qtde]])</f>
        <v>10.177694999999998</v>
      </c>
      <c r="N78" s="14" t="str">
        <f>_xlfn.XLOOKUP(LEFT([1]!MOVIMENTACOES[[#This Row],[Código]],3),'[1]BASE DE FABRICANTES'!A:A,'[1]BASE DE FABRICANTES'!B:B,"VERIFICAR",0,1)</f>
        <v>SPEC CHEM</v>
      </c>
      <c r="O78" s="14">
        <f>[1]!MOVIMENTACOES[[#This Row],[PREÇO NET]]*[1]!MOVIMENTACOES[[#This Row],[Qtde]]</f>
        <v>6785.1299999999992</v>
      </c>
      <c r="P78" s="17" t="s">
        <v>533</v>
      </c>
      <c r="Q78" s="17" t="s">
        <v>561</v>
      </c>
      <c r="R78" s="17" t="s">
        <v>49</v>
      </c>
      <c r="S78" s="17" t="s">
        <v>535</v>
      </c>
      <c r="T78" s="18">
        <v>46034</v>
      </c>
      <c r="U78" s="18" t="s">
        <v>536</v>
      </c>
      <c r="V78" s="17" t="s">
        <v>91</v>
      </c>
      <c r="W78" s="17"/>
      <c r="X78" s="17"/>
      <c r="Y78" s="17" t="s">
        <v>537</v>
      </c>
      <c r="Z78" s="17" t="s">
        <v>538</v>
      </c>
      <c r="AA78" s="17" t="s">
        <v>539</v>
      </c>
      <c r="AB78" s="17"/>
      <c r="AC78" s="17" t="s">
        <v>53</v>
      </c>
      <c r="AD78" s="17"/>
      <c r="AE78" s="17" t="s">
        <v>44</v>
      </c>
      <c r="AF78" s="17" t="s">
        <v>45</v>
      </c>
      <c r="AG78" s="17" t="s">
        <v>46</v>
      </c>
      <c r="AH78" s="17" t="s">
        <v>47</v>
      </c>
      <c r="AI78" s="17" t="s">
        <v>48</v>
      </c>
      <c r="AJ78" s="19">
        <v>5</v>
      </c>
      <c r="AK78" s="19">
        <v>107</v>
      </c>
      <c r="AL78" s="19">
        <v>0</v>
      </c>
      <c r="AM78" s="20">
        <v>395.35198390940002</v>
      </c>
      <c r="AN78" s="20">
        <v>1717.6</v>
      </c>
      <c r="AO78" s="20">
        <v>1976.759919547</v>
      </c>
      <c r="AP78" s="20">
        <v>8588</v>
      </c>
      <c r="AQ78" s="20">
        <v>8588</v>
      </c>
      <c r="AR78" s="20">
        <v>1545.84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/>
      <c r="AY78" s="20"/>
      <c r="AZ78" s="20"/>
      <c r="BA78" s="20">
        <v>0</v>
      </c>
      <c r="BB78" s="20">
        <v>0</v>
      </c>
      <c r="BC78" s="20">
        <v>0</v>
      </c>
      <c r="BD78" s="20">
        <v>7042.16</v>
      </c>
      <c r="BE78" s="20">
        <v>45.77</v>
      </c>
      <c r="BF78" s="20">
        <v>0</v>
      </c>
      <c r="BG78" s="20">
        <v>7042.16</v>
      </c>
      <c r="BH78" s="20">
        <v>211.26</v>
      </c>
      <c r="BI78" s="20">
        <v>0</v>
      </c>
      <c r="BJ78" s="20">
        <v>0</v>
      </c>
      <c r="BK78" s="20">
        <v>0</v>
      </c>
      <c r="BL78" s="17" t="s">
        <v>49</v>
      </c>
      <c r="BM78" s="17"/>
      <c r="BN78" s="17" t="s">
        <v>97</v>
      </c>
      <c r="BO78" s="17" t="s">
        <v>51</v>
      </c>
      <c r="BP78" s="17" t="s">
        <v>540</v>
      </c>
      <c r="BQ78" s="18">
        <v>46894</v>
      </c>
    </row>
    <row r="79" spans="1:69" x14ac:dyDescent="0.25">
      <c r="A79" s="11" t="str">
        <f>LEFT([1]!MOVIMENTACOES[[#This Row],[Código]],9)</f>
        <v>030004060</v>
      </c>
      <c r="B79" s="11" t="s">
        <v>149</v>
      </c>
      <c r="C79" s="11" t="str">
        <f>TRIM(IFERROR(LEFT([1]!MOVIMENTACOES[[#This Row],[Descrição]],SEARCH([1]!MOVIMENTACOES[[#This Row],[EMBALAGEM]],[1]!MOVIMENTACOES[[#This Row],[Descrição]],1)-1),[1]!MOVIMENTACOES[[#This Row],[Descrição]]))</f>
        <v>MALTOBIONIC ACID</v>
      </c>
      <c r="D79" s="11" t="str">
        <f>_xlfn.CONCAT([1]!MOVIMENTACOES[[#This Row],[FABRICANTE]],[1]!MOVIMENTACOES[[#This Row],[DESCRIÇÃO SEM EMBALAGEM]],[1]!MOVIMENTACOES[[#This Row],[Coluna1]])</f>
        <v>SPEC CHEMMALTOBIONIC ACID1</v>
      </c>
      <c r="E79" s="12">
        <f>_xlfn.XLOOKUP([1]!MOVIMENTACOES[[#This Row],[CONCAT]],'[2]PRICE LIST'!$G:$G,'[2]PRICE LIST'!$Q:$Q,"VERIFICAR",0,1)</f>
        <v>859.80000000000007</v>
      </c>
      <c r="F79" s="13">
        <f>_xlfn.XLOOKUP([1]!MOVIMENTACOES[[#This Row],[Data]],[1]PTAX!A:A,[1]PTAX!C:C,"VERIFICAR",0,1)*[1]!MOVIMENTACOES[[#This Row],[PREÇO DE LISTA DOLAR]]</f>
        <v>4621.7689200000004</v>
      </c>
      <c r="G79" s="14">
        <f>[1]!MOVIMENTACOES[[#This Row],[PREÇO NET]]-[1]!MOVIMENTACOES[[#This Row],[PREÇO DE LISTA REAL]]</f>
        <v>-1079.7889200000004</v>
      </c>
      <c r="H79" s="15">
        <f>-[1]!MOVIMENTACOES[[#This Row],[DESCONTO CONCEDIDO]]/[1]!MOVIMENTACOES[[#This Row],[PREÇO DE LISTA REAL]]</f>
        <v>0.23363109205381916</v>
      </c>
      <c r="I7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3541.98</v>
      </c>
      <c r="J79" s="15">
        <f>VLOOKUP([1]!MOVIMENTACOES[[#This Row],[DESC %]],[1]!DESC[#Data],2,TRUE)</f>
        <v>2.5000000000000001E-3</v>
      </c>
      <c r="K79" s="15">
        <f>_xlfn.XLOOKUP([1]!MOVIMENTACOES[[#This Row],[NF-e]],'[1]PEDIDOS E COMISSOES'!A:A,'[1]PEDIDOS E COMISSOES'!E:E,"VERIFICAR",0,1)</f>
        <v>-1E-3</v>
      </c>
      <c r="L79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79" s="16">
        <f>[1]!MOVIMENTACOES[[#This Row],[COMISSÃO FINAL]]*([1]!MOVIMENTACOES[[#This Row],[PREÇO NET]]*[1]!MOVIMENTACOES[[#This Row],[Qtde]])</f>
        <v>5.31297</v>
      </c>
      <c r="N79" s="14" t="str">
        <f>_xlfn.XLOOKUP(LEFT([1]!MOVIMENTACOES[[#This Row],[Código]],3),'[1]BASE DE FABRICANTES'!A:A,'[1]BASE DE FABRICANTES'!B:B,"VERIFICAR",0,1)</f>
        <v>SPEC CHEM</v>
      </c>
      <c r="O79" s="14">
        <f>[1]!MOVIMENTACOES[[#This Row],[PREÇO NET]]*[1]!MOVIMENTACOES[[#This Row],[Qtde]]</f>
        <v>3541.98</v>
      </c>
      <c r="P79" s="3" t="s">
        <v>562</v>
      </c>
      <c r="Q79" s="3" t="s">
        <v>563</v>
      </c>
      <c r="R79" s="3" t="s">
        <v>49</v>
      </c>
      <c r="S79" s="3" t="s">
        <v>564</v>
      </c>
      <c r="T79" s="6">
        <v>46034</v>
      </c>
      <c r="U79" s="6" t="s">
        <v>536</v>
      </c>
      <c r="V79" s="3" t="s">
        <v>91</v>
      </c>
      <c r="W79" s="3"/>
      <c r="X79" s="3"/>
      <c r="Y79" s="3" t="s">
        <v>537</v>
      </c>
      <c r="Z79" s="3" t="s">
        <v>538</v>
      </c>
      <c r="AA79" s="3" t="s">
        <v>539</v>
      </c>
      <c r="AB79" s="3"/>
      <c r="AC79" s="3" t="s">
        <v>53</v>
      </c>
      <c r="AD79" s="3"/>
      <c r="AE79" s="3" t="s">
        <v>44</v>
      </c>
      <c r="AF79" s="3" t="s">
        <v>45</v>
      </c>
      <c r="AG79" s="3" t="s">
        <v>46</v>
      </c>
      <c r="AH79" s="3" t="s">
        <v>47</v>
      </c>
      <c r="AI79" s="3" t="s">
        <v>48</v>
      </c>
      <c r="AJ79" s="4">
        <v>1</v>
      </c>
      <c r="AK79" s="4">
        <v>0</v>
      </c>
      <c r="AL79" s="4">
        <v>0</v>
      </c>
      <c r="AM79" s="5">
        <v>1433.7680428164999</v>
      </c>
      <c r="AN79" s="5">
        <v>4483.1400000000003</v>
      </c>
      <c r="AO79" s="5">
        <v>1433.7680428164999</v>
      </c>
      <c r="AP79" s="5">
        <v>4483.1400000000003</v>
      </c>
      <c r="AQ79" s="5">
        <v>4483.1400000000003</v>
      </c>
      <c r="AR79" s="5">
        <v>806.97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/>
      <c r="AY79" s="5"/>
      <c r="AZ79" s="5"/>
      <c r="BA79" s="5">
        <v>0</v>
      </c>
      <c r="BB79" s="5">
        <v>0</v>
      </c>
      <c r="BC79" s="5">
        <v>0</v>
      </c>
      <c r="BD79" s="5">
        <v>3676.17</v>
      </c>
      <c r="BE79" s="5">
        <v>23.9</v>
      </c>
      <c r="BF79" s="5">
        <v>0</v>
      </c>
      <c r="BG79" s="5">
        <v>3676.17</v>
      </c>
      <c r="BH79" s="5">
        <v>110.29</v>
      </c>
      <c r="BI79" s="5">
        <v>0</v>
      </c>
      <c r="BJ79" s="5">
        <v>0</v>
      </c>
      <c r="BK79" s="5">
        <v>0</v>
      </c>
      <c r="BL79" s="3" t="s">
        <v>49</v>
      </c>
      <c r="BM79" s="3"/>
      <c r="BN79" s="3" t="s">
        <v>97</v>
      </c>
      <c r="BO79" s="3" t="s">
        <v>51</v>
      </c>
      <c r="BP79" s="3" t="s">
        <v>565</v>
      </c>
      <c r="BQ79" s="6">
        <v>46514</v>
      </c>
    </row>
    <row r="80" spans="1:69" x14ac:dyDescent="0.25">
      <c r="A80" s="11" t="str">
        <f>LEFT([1]!MOVIMENTACOES[[#This Row],[Código]],9)</f>
        <v>030004015</v>
      </c>
      <c r="B80" s="11" t="s">
        <v>566</v>
      </c>
      <c r="C80" s="11" t="str">
        <f>TRIM(IFERROR(LEFT([1]!MOVIMENTACOES[[#This Row],[Descrição]],SEARCH([1]!MOVIMENTACOES[[#This Row],[EMBALAGEM]],[1]!MOVIMENTACOES[[#This Row],[Descrição]],1)-1),[1]!MOVIMENTACOES[[#This Row],[Descrição]]))</f>
        <v>GLYCOLIC ACID 70%</v>
      </c>
      <c r="D80" s="11" t="str">
        <f>_xlfn.CONCAT([1]!MOVIMENTACOES[[#This Row],[FABRICANTE]],[1]!MOVIMENTACOES[[#This Row],[DESCRIÇÃO SEM EMBALAGEM]],[1]!MOVIMENTACOES[[#This Row],[Coluna1]])</f>
        <v>SPEC CHEMGLYCOLIC ACID 70%250</v>
      </c>
      <c r="E80" s="12">
        <f>_xlfn.XLOOKUP([1]!MOVIMENTACOES[[#This Row],[CONCAT]],'[2]PRICE LIST'!$G:$G,'[2]PRICE LIST'!$Q:$Q,"VERIFICAR",0,1)</f>
        <v>11.6</v>
      </c>
      <c r="F80" s="13">
        <f>_xlfn.XLOOKUP([1]!MOVIMENTACOES[[#This Row],[Data]],[1]PTAX!A:A,[1]PTAX!C:C,"VERIFICAR",0,1)*[1]!MOVIMENTACOES[[#This Row],[PREÇO DE LISTA DOLAR]]</f>
        <v>62.354639999999996</v>
      </c>
      <c r="G80" s="14">
        <f>[1]!MOVIMENTACOES[[#This Row],[PREÇO NET]]-[1]!MOVIMENTACOES[[#This Row],[PREÇO DE LISTA REAL]]</f>
        <v>10.371280000000006</v>
      </c>
      <c r="H80" s="15">
        <f>-[1]!MOVIMENTACOES[[#This Row],[DESCONTO CONCEDIDO]]/[1]!MOVIMENTACOES[[#This Row],[PREÇO DE LISTA REAL]]</f>
        <v>-0.16632731742176696</v>
      </c>
      <c r="I8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72.725920000000002</v>
      </c>
      <c r="J80" s="15">
        <f>VLOOKUP([1]!MOVIMENTACOES[[#This Row],[DESC %]],[1]!DESC[#Data],2,TRUE)</f>
        <v>0.01</v>
      </c>
      <c r="K80" s="15">
        <f>_xlfn.XLOOKUP([1]!MOVIMENTACOES[[#This Row],[NF-e]],'[1]PEDIDOS E COMISSOES'!A:A,'[1]PEDIDOS E COMISSOES'!E:E,"VERIFICAR",0,1)</f>
        <v>-1E-3</v>
      </c>
      <c r="L80" s="15">
        <f>IF([1]!MOVIMENTACOES[[#This Row],[PERCENTUAL DE COMISSÕES]]+[1]!MOVIMENTACOES[[#This Row],[AJUSTE COMISSÃO]]&lt;0.06%,0.05%,[1]!MOVIMENTACOES[[#This Row],[PERCENTUAL DE COMISSÕES]]+[1]!MOVIMENTACOES[[#This Row],[AJUSTE COMISSÃO]])</f>
        <v>9.0000000000000011E-3</v>
      </c>
      <c r="M80" s="16">
        <f>[1]!MOVIMENTACOES[[#This Row],[COMISSÃO FINAL]]*([1]!MOVIMENTACOES[[#This Row],[PREÇO NET]]*[1]!MOVIMENTACOES[[#This Row],[Qtde]])</f>
        <v>163.63332000000003</v>
      </c>
      <c r="N80" s="14" t="str">
        <f>_xlfn.XLOOKUP(LEFT([1]!MOVIMENTACOES[[#This Row],[Código]],3),'[1]BASE DE FABRICANTES'!A:A,'[1]BASE DE FABRICANTES'!B:B,"VERIFICAR",0,1)</f>
        <v>SPEC CHEM</v>
      </c>
      <c r="O80" s="14">
        <f>[1]!MOVIMENTACOES[[#This Row],[PREÇO NET]]*[1]!MOVIMENTACOES[[#This Row],[Qtde]]</f>
        <v>18181.48</v>
      </c>
      <c r="P80" s="17" t="s">
        <v>567</v>
      </c>
      <c r="Q80" s="17" t="s">
        <v>568</v>
      </c>
      <c r="R80" s="17" t="s">
        <v>49</v>
      </c>
      <c r="S80" s="17" t="s">
        <v>543</v>
      </c>
      <c r="T80" s="18">
        <v>46034</v>
      </c>
      <c r="U80" s="18" t="s">
        <v>536</v>
      </c>
      <c r="V80" s="17" t="s">
        <v>91</v>
      </c>
      <c r="W80" s="17"/>
      <c r="X80" s="17"/>
      <c r="Y80" s="17" t="s">
        <v>537</v>
      </c>
      <c r="Z80" s="17" t="s">
        <v>538</v>
      </c>
      <c r="AA80" s="17" t="s">
        <v>539</v>
      </c>
      <c r="AB80" s="17"/>
      <c r="AC80" s="17" t="s">
        <v>53</v>
      </c>
      <c r="AD80" s="17" t="s">
        <v>165</v>
      </c>
      <c r="AE80" s="17" t="s">
        <v>44</v>
      </c>
      <c r="AF80" s="17" t="s">
        <v>45</v>
      </c>
      <c r="AG80" s="17" t="s">
        <v>46</v>
      </c>
      <c r="AH80" s="17" t="s">
        <v>47</v>
      </c>
      <c r="AI80" s="17" t="s">
        <v>48</v>
      </c>
      <c r="AJ80" s="19">
        <v>250</v>
      </c>
      <c r="AK80" s="19">
        <v>3000</v>
      </c>
      <c r="AL80" s="19">
        <v>500</v>
      </c>
      <c r="AM80" s="20">
        <v>28.492831850999998</v>
      </c>
      <c r="AN80" s="20">
        <v>92.05</v>
      </c>
      <c r="AO80" s="20">
        <v>7123.2079627499998</v>
      </c>
      <c r="AP80" s="20">
        <v>23012.5</v>
      </c>
      <c r="AQ80" s="20">
        <v>23012.5</v>
      </c>
      <c r="AR80" s="20">
        <v>4142.25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/>
      <c r="AY80" s="20"/>
      <c r="AZ80" s="20"/>
      <c r="BA80" s="20">
        <v>0</v>
      </c>
      <c r="BB80" s="20">
        <v>0</v>
      </c>
      <c r="BC80" s="20">
        <v>0</v>
      </c>
      <c r="BD80" s="20">
        <v>18870.25</v>
      </c>
      <c r="BE80" s="20">
        <v>122.66</v>
      </c>
      <c r="BF80" s="20">
        <v>0</v>
      </c>
      <c r="BG80" s="20">
        <v>18870.25</v>
      </c>
      <c r="BH80" s="20">
        <v>566.11</v>
      </c>
      <c r="BI80" s="20">
        <v>0</v>
      </c>
      <c r="BJ80" s="20">
        <v>0</v>
      </c>
      <c r="BK80" s="20">
        <v>0</v>
      </c>
      <c r="BL80" s="17" t="s">
        <v>49</v>
      </c>
      <c r="BM80" s="17"/>
      <c r="BN80" s="17" t="s">
        <v>97</v>
      </c>
      <c r="BO80" s="17" t="s">
        <v>51</v>
      </c>
      <c r="BP80" s="17" t="s">
        <v>549</v>
      </c>
      <c r="BQ80" s="18">
        <v>46515</v>
      </c>
    </row>
    <row r="81" spans="1:69" x14ac:dyDescent="0.25">
      <c r="A81" s="11" t="str">
        <f>LEFT([1]!MOVIMENTACOES[[#This Row],[Código]],9)</f>
        <v>026005001</v>
      </c>
      <c r="B81" s="11" t="s">
        <v>569</v>
      </c>
      <c r="C81" s="11" t="str">
        <f>TRIM(IFERROR(LEFT([1]!MOVIMENTACOES[[#This Row],[Descrição]],SEARCH([1]!MOVIMENTACOES[[#This Row],[EMBALAGEM]],[1]!MOVIMENTACOES[[#This Row],[Descrição]],1)-1),[1]!MOVIMENTACOES[[#This Row],[Descrição]]))</f>
        <v>NATURESCRUB H20</v>
      </c>
      <c r="D81" s="11" t="str">
        <f>_xlfn.CONCAT([1]!MOVIMENTACOES[[#This Row],[FABRICANTE]],[1]!MOVIMENTACOES[[#This Row],[DESCRIÇÃO SEM EMBALAGEM]],[1]!MOVIMENTACOES[[#This Row],[Coluna1]])</f>
        <v>MICRO POWDERSNATURESCRUB H2055</v>
      </c>
      <c r="E81" s="12">
        <f>_xlfn.XLOOKUP([1]!MOVIMENTACOES[[#This Row],[CONCAT]],'[2]PRICE LIST'!$G:$G,'[2]PRICE LIST'!$Q:$Q,"VERIFICAR",0,1)</f>
        <v>36.156745454545451</v>
      </c>
      <c r="F81" s="13">
        <f>_xlfn.XLOOKUP([1]!MOVIMENTACOES[[#This Row],[Data]],[1]PTAX!A:A,[1]PTAX!C:C,"VERIFICAR",0,1)*[1]!MOVIMENTACOES[[#This Row],[PREÇO DE LISTA DOLAR]]</f>
        <v>194.35696951636362</v>
      </c>
      <c r="G81" s="14">
        <f>[1]!MOVIMENTACOES[[#This Row],[PREÇO NET]]-[1]!MOVIMENTACOES[[#This Row],[PREÇO DE LISTA REAL]]</f>
        <v>-49.979939213333296</v>
      </c>
      <c r="H81" s="15">
        <f>-[1]!MOVIMENTACOES[[#This Row],[DESCONTO CONCEDIDO]]/[1]!MOVIMENTACOES[[#This Row],[PREÇO DE LISTA REAL]]</f>
        <v>0.25715537414327355</v>
      </c>
      <c r="I8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144.37703030303032</v>
      </c>
      <c r="J81" s="15">
        <f>VLOOKUP([1]!MOVIMENTACOES[[#This Row],[DESC %]],[1]!DESC[#Data],2,TRUE)</f>
        <v>2.5000000000000001E-3</v>
      </c>
      <c r="K81" s="15">
        <f>_xlfn.XLOOKUP([1]!MOVIMENTACOES[[#This Row],[NF-e]],'[1]PEDIDOS E COMISSOES'!A:A,'[1]PEDIDOS E COMISSOES'!E:E,"VERIFICAR",0,1)</f>
        <v>-1E-3</v>
      </c>
      <c r="L81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81" s="16">
        <f>[1]!MOVIMENTACOES[[#This Row],[COMISSÃO FINAL]]*([1]!MOVIMENTACOES[[#This Row],[PREÇO NET]]*[1]!MOVIMENTACOES[[#This Row],[Qtde]])</f>
        <v>35.733315000000005</v>
      </c>
      <c r="N81" s="14" t="str">
        <f>_xlfn.XLOOKUP(LEFT([1]!MOVIMENTACOES[[#This Row],[Código]],3),'[1]BASE DE FABRICANTES'!A:A,'[1]BASE DE FABRICANTES'!B:B,"VERIFICAR",0,1)</f>
        <v>MICRO POWDERS</v>
      </c>
      <c r="O81" s="14">
        <f>[1]!MOVIMENTACOES[[#This Row],[PREÇO NET]]*[1]!MOVIMENTACOES[[#This Row],[Qtde]]</f>
        <v>23822.210000000003</v>
      </c>
      <c r="P81" s="3" t="s">
        <v>570</v>
      </c>
      <c r="Q81" s="3" t="s">
        <v>571</v>
      </c>
      <c r="R81" s="3" t="s">
        <v>49</v>
      </c>
      <c r="S81" s="3" t="s">
        <v>572</v>
      </c>
      <c r="T81" s="6">
        <v>46034</v>
      </c>
      <c r="U81" s="6" t="s">
        <v>389</v>
      </c>
      <c r="V81" s="3" t="s">
        <v>91</v>
      </c>
      <c r="W81" s="3"/>
      <c r="X81" s="3"/>
      <c r="Y81" s="3" t="s">
        <v>573</v>
      </c>
      <c r="Z81" s="3" t="s">
        <v>574</v>
      </c>
      <c r="AA81" s="3" t="s">
        <v>575</v>
      </c>
      <c r="AB81" s="3"/>
      <c r="AC81" s="3" t="s">
        <v>107</v>
      </c>
      <c r="AD81" s="3" t="s">
        <v>576</v>
      </c>
      <c r="AE81" s="3" t="s">
        <v>44</v>
      </c>
      <c r="AF81" s="3" t="s">
        <v>45</v>
      </c>
      <c r="AG81" s="3" t="s">
        <v>46</v>
      </c>
      <c r="AH81" s="3" t="s">
        <v>109</v>
      </c>
      <c r="AI81" s="3" t="s">
        <v>110</v>
      </c>
      <c r="AJ81" s="4">
        <v>165</v>
      </c>
      <c r="AK81" s="4">
        <v>715</v>
      </c>
      <c r="AL81" s="4">
        <v>0</v>
      </c>
      <c r="AM81" s="5">
        <v>89.767737929999996</v>
      </c>
      <c r="AN81" s="5">
        <v>156.09</v>
      </c>
      <c r="AO81" s="5">
        <v>14811.676758449999</v>
      </c>
      <c r="AP81" s="5">
        <v>25754.85</v>
      </c>
      <c r="AQ81" s="5">
        <v>25754.85</v>
      </c>
      <c r="AR81" s="5">
        <v>1030.19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/>
      <c r="AY81" s="5"/>
      <c r="AZ81" s="5"/>
      <c r="BA81" s="5">
        <v>0</v>
      </c>
      <c r="BB81" s="5">
        <v>0</v>
      </c>
      <c r="BC81" s="5">
        <v>0</v>
      </c>
      <c r="BD81" s="5">
        <v>24724.66</v>
      </c>
      <c r="BE81" s="5">
        <v>160.71</v>
      </c>
      <c r="BF81" s="5">
        <v>0</v>
      </c>
      <c r="BG81" s="5">
        <v>24724.66</v>
      </c>
      <c r="BH81" s="5">
        <v>741.74</v>
      </c>
      <c r="BI81" s="5">
        <v>0</v>
      </c>
      <c r="BJ81" s="5">
        <v>0</v>
      </c>
      <c r="BK81" s="5">
        <v>0</v>
      </c>
      <c r="BL81" s="3" t="s">
        <v>49</v>
      </c>
      <c r="BM81" s="3"/>
      <c r="BN81" s="3" t="s">
        <v>97</v>
      </c>
      <c r="BO81" s="3" t="s">
        <v>51</v>
      </c>
      <c r="BP81" s="3" t="s">
        <v>577</v>
      </c>
      <c r="BQ81" s="6">
        <v>47589</v>
      </c>
    </row>
    <row r="82" spans="1:69" x14ac:dyDescent="0.25">
      <c r="A82" s="11" t="str">
        <f>LEFT([1]!MOVIMENTACOES[[#This Row],[Código]],9)</f>
        <v>030004015</v>
      </c>
      <c r="B82" s="11" t="s">
        <v>204</v>
      </c>
      <c r="C82" s="11" t="str">
        <f>TRIM(IFERROR(LEFT([1]!MOVIMENTACOES[[#This Row],[Descrição]],SEARCH([1]!MOVIMENTACOES[[#This Row],[EMBALAGEM]],[1]!MOVIMENTACOES[[#This Row],[Descrição]],1)-1),[1]!MOVIMENTACOES[[#This Row],[Descrição]]))</f>
        <v>GLYCOLIC ACID 70%</v>
      </c>
      <c r="D82" s="11" t="str">
        <f>_xlfn.CONCAT([1]!MOVIMENTACOES[[#This Row],[FABRICANTE]],[1]!MOVIMENTACOES[[#This Row],[DESCRIÇÃO SEM EMBALAGEM]],[1]!MOVIMENTACOES[[#This Row],[Coluna1]])</f>
        <v>SPEC CHEMGLYCOLIC ACID 70%25</v>
      </c>
      <c r="E82" s="12">
        <f>_xlfn.XLOOKUP([1]!MOVIMENTACOES[[#This Row],[CONCAT]],'[2]PRICE LIST'!$G:$G,'[2]PRICE LIST'!$Q:$Q,"VERIFICAR",0,1)</f>
        <v>15.08</v>
      </c>
      <c r="F82" s="13">
        <f>_xlfn.XLOOKUP([1]!MOVIMENTACOES[[#This Row],[Data]],[1]PTAX!A:A,[1]PTAX!C:C,"VERIFICAR",0,1)*[1]!MOVIMENTACOES[[#This Row],[PREÇO DE LISTA DOLAR]]</f>
        <v>81.061031999999997</v>
      </c>
      <c r="G82" s="14">
        <f>[1]!MOVIMENTACOES[[#This Row],[PREÇO NET]]-[1]!MOVIMENTACOES[[#This Row],[PREÇO DE LISTA REAL]]</f>
        <v>-8.3350319999999982</v>
      </c>
      <c r="H82" s="15">
        <f>-[1]!MOVIMENTACOES[[#This Row],[DESCONTO CONCEDIDO]]/[1]!MOVIMENTACOES[[#This Row],[PREÇO DE LISTA REAL]]</f>
        <v>0.10282415353409266</v>
      </c>
      <c r="I8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72.725999999999999</v>
      </c>
      <c r="J82" s="15">
        <f>VLOOKUP([1]!MOVIMENTACOES[[#This Row],[DESC %]],[1]!DESC[#Data],2,TRUE)</f>
        <v>5.0000000000000001E-3</v>
      </c>
      <c r="K82" s="15">
        <f>_xlfn.XLOOKUP([1]!MOVIMENTACOES[[#This Row],[NF-e]],'[1]PEDIDOS E COMISSOES'!A:A,'[1]PEDIDOS E COMISSOES'!E:E,"VERIFICAR",0,1)</f>
        <v>-1E-3</v>
      </c>
      <c r="L82" s="15">
        <f>IF([1]!MOVIMENTACOES[[#This Row],[PERCENTUAL DE COMISSÕES]]+[1]!MOVIMENTACOES[[#This Row],[AJUSTE COMISSÃO]]&lt;0.06%,0.05%,[1]!MOVIMENTACOES[[#This Row],[PERCENTUAL DE COMISSÕES]]+[1]!MOVIMENTACOES[[#This Row],[AJUSTE COMISSÃO]])</f>
        <v>4.0000000000000001E-3</v>
      </c>
      <c r="M82" s="16">
        <f>[1]!MOVIMENTACOES[[#This Row],[COMISSÃO FINAL]]*([1]!MOVIMENTACOES[[#This Row],[PREÇO NET]]*[1]!MOVIMENTACOES[[#This Row],[Qtde]])</f>
        <v>14.545200000000001</v>
      </c>
      <c r="N82" s="14" t="str">
        <f>_xlfn.XLOOKUP(LEFT([1]!MOVIMENTACOES[[#This Row],[Código]],3),'[1]BASE DE FABRICANTES'!A:A,'[1]BASE DE FABRICANTES'!B:B,"VERIFICAR",0,1)</f>
        <v>SPEC CHEM</v>
      </c>
      <c r="O82" s="14">
        <f>[1]!MOVIMENTACOES[[#This Row],[PREÇO NET]]*[1]!MOVIMENTACOES[[#This Row],[Qtde]]</f>
        <v>3636.3</v>
      </c>
      <c r="P82" s="17" t="s">
        <v>541</v>
      </c>
      <c r="Q82" s="17" t="s">
        <v>578</v>
      </c>
      <c r="R82" s="17" t="s">
        <v>49</v>
      </c>
      <c r="S82" s="17" t="s">
        <v>543</v>
      </c>
      <c r="T82" s="18">
        <v>46034</v>
      </c>
      <c r="U82" s="18" t="s">
        <v>536</v>
      </c>
      <c r="V82" s="17" t="s">
        <v>91</v>
      </c>
      <c r="W82" s="17"/>
      <c r="X82" s="17"/>
      <c r="Y82" s="17" t="s">
        <v>537</v>
      </c>
      <c r="Z82" s="17" t="s">
        <v>538</v>
      </c>
      <c r="AA82" s="17" t="s">
        <v>539</v>
      </c>
      <c r="AB82" s="17"/>
      <c r="AC82" s="17" t="s">
        <v>53</v>
      </c>
      <c r="AD82" s="17"/>
      <c r="AE82" s="17" t="s">
        <v>44</v>
      </c>
      <c r="AF82" s="17" t="s">
        <v>45</v>
      </c>
      <c r="AG82" s="17" t="s">
        <v>46</v>
      </c>
      <c r="AH82" s="17" t="s">
        <v>47</v>
      </c>
      <c r="AI82" s="17" t="s">
        <v>48</v>
      </c>
      <c r="AJ82" s="19">
        <v>50</v>
      </c>
      <c r="AK82" s="19">
        <v>125</v>
      </c>
      <c r="AL82" s="19">
        <v>0</v>
      </c>
      <c r="AM82" s="20">
        <v>29.8812</v>
      </c>
      <c r="AN82" s="20">
        <v>92.05</v>
      </c>
      <c r="AO82" s="20">
        <v>1494.06</v>
      </c>
      <c r="AP82" s="20">
        <v>4602.5</v>
      </c>
      <c r="AQ82" s="20">
        <v>4602.5</v>
      </c>
      <c r="AR82" s="20">
        <v>828.45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/>
      <c r="AY82" s="20"/>
      <c r="AZ82" s="20"/>
      <c r="BA82" s="20">
        <v>0</v>
      </c>
      <c r="BB82" s="20">
        <v>0</v>
      </c>
      <c r="BC82" s="20">
        <v>0</v>
      </c>
      <c r="BD82" s="20">
        <v>3774.05</v>
      </c>
      <c r="BE82" s="20">
        <v>24.53</v>
      </c>
      <c r="BF82" s="20">
        <v>0</v>
      </c>
      <c r="BG82" s="20">
        <v>3774.05</v>
      </c>
      <c r="BH82" s="20">
        <v>113.22</v>
      </c>
      <c r="BI82" s="20">
        <v>0</v>
      </c>
      <c r="BJ82" s="20">
        <v>0</v>
      </c>
      <c r="BK82" s="20">
        <v>0</v>
      </c>
      <c r="BL82" s="17" t="s">
        <v>49</v>
      </c>
      <c r="BM82" s="17"/>
      <c r="BN82" s="17" t="s">
        <v>97</v>
      </c>
      <c r="BO82" s="17" t="s">
        <v>51</v>
      </c>
      <c r="BP82" s="17" t="s">
        <v>549</v>
      </c>
      <c r="BQ82" s="18">
        <v>46515</v>
      </c>
    </row>
    <row r="83" spans="1:69" x14ac:dyDescent="0.25">
      <c r="A83" s="11" t="str">
        <f>LEFT([1]!MOVIMENTACOES[[#This Row],[Código]],9)</f>
        <v>030004015</v>
      </c>
      <c r="B83" s="11" t="s">
        <v>99</v>
      </c>
      <c r="C83" s="11" t="str">
        <f>TRIM(IFERROR(LEFT([1]!MOVIMENTACOES[[#This Row],[Descrição]],SEARCH([1]!MOVIMENTACOES[[#This Row],[EMBALAGEM]],[1]!MOVIMENTACOES[[#This Row],[Descrição]],1)-1),[1]!MOVIMENTACOES[[#This Row],[Descrição]]))</f>
        <v>GLYCOLIC ACID 70%</v>
      </c>
      <c r="D83" s="11" t="str">
        <f>_xlfn.CONCAT([1]!MOVIMENTACOES[[#This Row],[FABRICANTE]],[1]!MOVIMENTACOES[[#This Row],[DESCRIÇÃO SEM EMBALAGEM]],[1]!MOVIMENTACOES[[#This Row],[Coluna1]])</f>
        <v>SPEC CHEMGLYCOLIC ACID 70%5</v>
      </c>
      <c r="E83" s="12">
        <f>_xlfn.XLOOKUP([1]!MOVIMENTACOES[[#This Row],[CONCAT]],'[2]PRICE LIST'!$G:$G,'[2]PRICE LIST'!$Q:$Q,"VERIFICAR",0,1)</f>
        <v>19.604000000000003</v>
      </c>
      <c r="F83" s="13">
        <f>_xlfn.XLOOKUP([1]!MOVIMENTACOES[[#This Row],[Data]],[1]PTAX!A:A,[1]PTAX!C:C,"VERIFICAR",0,1)*[1]!MOVIMENTACOES[[#This Row],[PREÇO DE LISTA DOLAR]]</f>
        <v>105.37934160000002</v>
      </c>
      <c r="G83" s="14">
        <f>[1]!MOVIMENTACOES[[#This Row],[PREÇO NET]]-[1]!MOVIMENTACOES[[#This Row],[PREÇO DE LISTA REAL]]</f>
        <v>-32.654008266666679</v>
      </c>
      <c r="H83" s="15">
        <f>-[1]!MOVIMENTACOES[[#This Row],[DESCONTO CONCEDIDO]]/[1]!MOVIMENTACOES[[#This Row],[PREÇO DE LISTA REAL]]</f>
        <v>0.30987105983841784</v>
      </c>
      <c r="I8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72.725333333333339</v>
      </c>
      <c r="J83" s="15">
        <f>VLOOKUP([1]!MOVIMENTACOES[[#This Row],[DESC %]],[1]!DESC[#Data],2,TRUE)</f>
        <v>2.5000000000000001E-3</v>
      </c>
      <c r="K83" s="15">
        <f>_xlfn.XLOOKUP([1]!MOVIMENTACOES[[#This Row],[NF-e]],'[1]PEDIDOS E COMISSOES'!A:A,'[1]PEDIDOS E COMISSOES'!E:E,"VERIFICAR",0,1)</f>
        <v>-1E-3</v>
      </c>
      <c r="L83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83" s="16">
        <f>[1]!MOVIMENTACOES[[#This Row],[COMISSÃO FINAL]]*([1]!MOVIMENTACOES[[#This Row],[PREÇO NET]]*[1]!MOVIMENTACOES[[#This Row],[Qtde]])</f>
        <v>1.6363200000000002</v>
      </c>
      <c r="N83" s="14" t="str">
        <f>_xlfn.XLOOKUP(LEFT([1]!MOVIMENTACOES[[#This Row],[Código]],3),'[1]BASE DE FABRICANTES'!A:A,'[1]BASE DE FABRICANTES'!B:B,"VERIFICAR",0,1)</f>
        <v>SPEC CHEM</v>
      </c>
      <c r="O83" s="14">
        <f>[1]!MOVIMENTACOES[[#This Row],[PREÇO NET]]*[1]!MOVIMENTACOES[[#This Row],[Qtde]]</f>
        <v>1090.8800000000001</v>
      </c>
      <c r="P83" s="3" t="s">
        <v>541</v>
      </c>
      <c r="Q83" s="3" t="s">
        <v>542</v>
      </c>
      <c r="R83" s="3" t="s">
        <v>49</v>
      </c>
      <c r="S83" s="3" t="s">
        <v>543</v>
      </c>
      <c r="T83" s="6">
        <v>46034</v>
      </c>
      <c r="U83" s="6" t="s">
        <v>536</v>
      </c>
      <c r="V83" s="3" t="s">
        <v>91</v>
      </c>
      <c r="W83" s="3"/>
      <c r="X83" s="3"/>
      <c r="Y83" s="3" t="s">
        <v>537</v>
      </c>
      <c r="Z83" s="3" t="s">
        <v>538</v>
      </c>
      <c r="AA83" s="3" t="s">
        <v>539</v>
      </c>
      <c r="AB83" s="3"/>
      <c r="AC83" s="3" t="s">
        <v>53</v>
      </c>
      <c r="AD83" s="3"/>
      <c r="AE83" s="3" t="s">
        <v>44</v>
      </c>
      <c r="AF83" s="3" t="s">
        <v>45</v>
      </c>
      <c r="AG83" s="3" t="s">
        <v>46</v>
      </c>
      <c r="AH83" s="3" t="s">
        <v>47</v>
      </c>
      <c r="AI83" s="3" t="s">
        <v>48</v>
      </c>
      <c r="AJ83" s="4">
        <v>15</v>
      </c>
      <c r="AK83" s="4">
        <v>95</v>
      </c>
      <c r="AL83" s="4">
        <v>0</v>
      </c>
      <c r="AM83" s="5">
        <v>29.9485766552</v>
      </c>
      <c r="AN83" s="5">
        <v>92.05</v>
      </c>
      <c r="AO83" s="5">
        <v>449.22864982800002</v>
      </c>
      <c r="AP83" s="5">
        <v>1380.75</v>
      </c>
      <c r="AQ83" s="5">
        <v>1380.75</v>
      </c>
      <c r="AR83" s="5">
        <v>248.54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/>
      <c r="AY83" s="5"/>
      <c r="AZ83" s="5"/>
      <c r="BA83" s="5">
        <v>0</v>
      </c>
      <c r="BB83" s="5">
        <v>0</v>
      </c>
      <c r="BC83" s="5">
        <v>0</v>
      </c>
      <c r="BD83" s="5">
        <v>1132.21</v>
      </c>
      <c r="BE83" s="5">
        <v>7.36</v>
      </c>
      <c r="BF83" s="5">
        <v>0</v>
      </c>
      <c r="BG83" s="5">
        <v>1132.21</v>
      </c>
      <c r="BH83" s="5">
        <v>33.97</v>
      </c>
      <c r="BI83" s="5">
        <v>0</v>
      </c>
      <c r="BJ83" s="5">
        <v>0</v>
      </c>
      <c r="BK83" s="5">
        <v>0</v>
      </c>
      <c r="BL83" s="3" t="s">
        <v>49</v>
      </c>
      <c r="BM83" s="3"/>
      <c r="BN83" s="3" t="s">
        <v>97</v>
      </c>
      <c r="BO83" s="3" t="s">
        <v>51</v>
      </c>
      <c r="BP83" s="3" t="s">
        <v>549</v>
      </c>
      <c r="BQ83" s="6">
        <v>46515</v>
      </c>
    </row>
    <row r="84" spans="1:69" x14ac:dyDescent="0.25">
      <c r="A84" s="11" t="str">
        <f>LEFT([1]!MOVIMENTACOES[[#This Row],[Código]],9)</f>
        <v>072004003</v>
      </c>
      <c r="B84" s="11" t="s">
        <v>99</v>
      </c>
      <c r="C84" s="11" t="str">
        <f>TRIM(IFERROR(LEFT([1]!MOVIMENTACOES[[#This Row],[Descrição]],SEARCH([1]!MOVIMENTACOES[[#This Row],[EMBALAGEM]],[1]!MOVIMENTACOES[[#This Row],[Descrição]],1)-1),[1]!MOVIMENTACOES[[#This Row],[Descrição]]))</f>
        <v>GLUCONOLACTONE</v>
      </c>
      <c r="D84" s="11" t="str">
        <f>_xlfn.CONCAT([1]!MOVIMENTACOES[[#This Row],[FABRICANTE]],[1]!MOVIMENTACOES[[#This Row],[DESCRIÇÃO SEM EMBALAGEM]],[1]!MOVIMENTACOES[[#This Row],[Coluna1]])</f>
        <v>HAIHANGGLUCONOLACTONE5</v>
      </c>
      <c r="E84" s="12">
        <f>_xlfn.XLOOKUP([1]!MOVIMENTACOES[[#This Row],[CONCAT]],'[2]PRICE LIST'!$G:$G,'[2]PRICE LIST'!$Q:$Q,"VERIFICAR",0,1)</f>
        <v>17.842500000000001</v>
      </c>
      <c r="F84" s="13">
        <f>_xlfn.XLOOKUP([1]!MOVIMENTACOES[[#This Row],[Data]],[1]PTAX!A:A,[1]PTAX!C:C,"VERIFICAR",0,1)*[1]!MOVIMENTACOES[[#This Row],[PREÇO DE LISTA DOLAR]]</f>
        <v>95.91057450000001</v>
      </c>
      <c r="G84" s="14">
        <f>[1]!MOVIMENTACOES[[#This Row],[PREÇO NET]]-[1]!MOVIMENTACOES[[#This Row],[PREÇO DE LISTA REAL]]</f>
        <v>-27.253907833333344</v>
      </c>
      <c r="H84" s="15">
        <f>-[1]!MOVIMENTACOES[[#This Row],[DESCONTO CONCEDIDO]]/[1]!MOVIMENTACOES[[#This Row],[PREÇO DE LISTA REAL]]</f>
        <v>0.28415957234552214</v>
      </c>
      <c r="I8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68.656666666666666</v>
      </c>
      <c r="J84" s="15">
        <f>VLOOKUP([1]!MOVIMENTACOES[[#This Row],[DESC %]],[1]!DESC[#Data],2,TRUE)</f>
        <v>2.5000000000000001E-3</v>
      </c>
      <c r="K84" s="15">
        <f>_xlfn.XLOOKUP([1]!MOVIMENTACOES[[#This Row],[NF-e]],'[1]PEDIDOS E COMISSOES'!A:A,'[1]PEDIDOS E COMISSOES'!E:E,"VERIFICAR",0,1)</f>
        <v>-1E-3</v>
      </c>
      <c r="L84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84" s="16">
        <f>[1]!MOVIMENTACOES[[#This Row],[COMISSÃO FINAL]]*([1]!MOVIMENTACOES[[#This Row],[PREÇO NET]]*[1]!MOVIMENTACOES[[#This Row],[Qtde]])</f>
        <v>1.5447749999999998</v>
      </c>
      <c r="N84" s="14" t="str">
        <f>_xlfn.XLOOKUP(LEFT([1]!MOVIMENTACOES[[#This Row],[Código]],3),'[1]BASE DE FABRICANTES'!A:A,'[1]BASE DE FABRICANTES'!B:B,"VERIFICAR",0,1)</f>
        <v>HAIHANG</v>
      </c>
      <c r="O84" s="14">
        <f>[1]!MOVIMENTACOES[[#This Row],[PREÇO NET]]*[1]!MOVIMENTACOES[[#This Row],[Qtde]]</f>
        <v>1029.8499999999999</v>
      </c>
      <c r="P84" s="17" t="s">
        <v>330</v>
      </c>
      <c r="Q84" s="17" t="s">
        <v>331</v>
      </c>
      <c r="R84" s="17" t="s">
        <v>49</v>
      </c>
      <c r="S84" s="17" t="s">
        <v>332</v>
      </c>
      <c r="T84" s="18">
        <v>46034</v>
      </c>
      <c r="U84" s="18" t="s">
        <v>536</v>
      </c>
      <c r="V84" s="17" t="s">
        <v>91</v>
      </c>
      <c r="W84" s="17"/>
      <c r="X84" s="17"/>
      <c r="Y84" s="17" t="s">
        <v>537</v>
      </c>
      <c r="Z84" s="17" t="s">
        <v>538</v>
      </c>
      <c r="AA84" s="17" t="s">
        <v>539</v>
      </c>
      <c r="AB84" s="17"/>
      <c r="AC84" s="17" t="s">
        <v>53</v>
      </c>
      <c r="AD84" s="17" t="s">
        <v>338</v>
      </c>
      <c r="AE84" s="17" t="s">
        <v>44</v>
      </c>
      <c r="AF84" s="17" t="s">
        <v>45</v>
      </c>
      <c r="AG84" s="17" t="s">
        <v>46</v>
      </c>
      <c r="AH84" s="17" t="s">
        <v>47</v>
      </c>
      <c r="AI84" s="17" t="s">
        <v>48</v>
      </c>
      <c r="AJ84" s="19">
        <v>15</v>
      </c>
      <c r="AK84" s="19">
        <v>10</v>
      </c>
      <c r="AL84" s="19">
        <v>0</v>
      </c>
      <c r="AM84" s="20">
        <v>22.419833333300001</v>
      </c>
      <c r="AN84" s="20">
        <v>86.9</v>
      </c>
      <c r="AO84" s="20">
        <v>336.29749999950002</v>
      </c>
      <c r="AP84" s="20">
        <v>1303.5</v>
      </c>
      <c r="AQ84" s="20">
        <v>1303.5</v>
      </c>
      <c r="AR84" s="20">
        <v>234.63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/>
      <c r="AY84" s="20"/>
      <c r="AZ84" s="20"/>
      <c r="BA84" s="20">
        <v>0</v>
      </c>
      <c r="BB84" s="20">
        <v>0</v>
      </c>
      <c r="BC84" s="20">
        <v>0</v>
      </c>
      <c r="BD84" s="20">
        <v>1068.8699999999999</v>
      </c>
      <c r="BE84" s="20">
        <v>6.95</v>
      </c>
      <c r="BF84" s="20">
        <v>0</v>
      </c>
      <c r="BG84" s="20">
        <v>1068.8699999999999</v>
      </c>
      <c r="BH84" s="20">
        <v>32.07</v>
      </c>
      <c r="BI84" s="20">
        <v>0</v>
      </c>
      <c r="BJ84" s="20">
        <v>0</v>
      </c>
      <c r="BK84" s="20">
        <v>0</v>
      </c>
      <c r="BL84" s="17" t="s">
        <v>49</v>
      </c>
      <c r="BM84" s="17"/>
      <c r="BN84" s="17" t="s">
        <v>97</v>
      </c>
      <c r="BO84" s="17" t="s">
        <v>51</v>
      </c>
      <c r="BP84" s="17" t="s">
        <v>340</v>
      </c>
      <c r="BQ84" s="18">
        <v>46617</v>
      </c>
    </row>
    <row r="85" spans="1:69" x14ac:dyDescent="0.25">
      <c r="A85" s="11" t="str">
        <f>LEFT([1]!MOVIMENTACOES[[#This Row],[Código]],9)</f>
        <v>072004003</v>
      </c>
      <c r="B85" s="11" t="s">
        <v>149</v>
      </c>
      <c r="C85" s="11" t="str">
        <f>TRIM(IFERROR(LEFT([1]!MOVIMENTACOES[[#This Row],[Descrição]],SEARCH([1]!MOVIMENTACOES[[#This Row],[EMBALAGEM]],[1]!MOVIMENTACOES[[#This Row],[Descrição]],1)-1),[1]!MOVIMENTACOES[[#This Row],[Descrição]]))</f>
        <v>GLUCONOLACTONE</v>
      </c>
      <c r="D85" s="11" t="str">
        <f>_xlfn.CONCAT([1]!MOVIMENTACOES[[#This Row],[FABRICANTE]],[1]!MOVIMENTACOES[[#This Row],[DESCRIÇÃO SEM EMBALAGEM]],[1]!MOVIMENTACOES[[#This Row],[Coluna1]])</f>
        <v>HAIHANGGLUCONOLACTONE1</v>
      </c>
      <c r="E85" s="12">
        <f>_xlfn.XLOOKUP([1]!MOVIMENTACOES[[#This Row],[CONCAT]],'[2]PRICE LIST'!$G:$G,'[2]PRICE LIST'!$Q:$Q,"VERIFICAR",0,1)</f>
        <v>23.195250000000001</v>
      </c>
      <c r="F85" s="13">
        <f>_xlfn.XLOOKUP([1]!MOVIMENTACOES[[#This Row],[Data]],[1]PTAX!A:A,[1]PTAX!C:C,"VERIFICAR",0,1)*[1]!MOVIMENTACOES[[#This Row],[PREÇO DE LISTA DOLAR]]</f>
        <v>124.68374685000001</v>
      </c>
      <c r="G85" s="14">
        <f>[1]!MOVIMENTACOES[[#This Row],[PREÇO NET]]-[1]!MOVIMENTACOES[[#This Row],[PREÇO DE LISTA REAL]]</f>
        <v>-56.023746849999995</v>
      </c>
      <c r="H85" s="15">
        <f>-[1]!MOVIMENTACOES[[#This Row],[DESCONTO CONCEDIDO]]/[1]!MOVIMENTACOES[[#This Row],[PREÇO DE LISTA REAL]]</f>
        <v>0.44932678288373068</v>
      </c>
      <c r="I8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68.660000000000011</v>
      </c>
      <c r="J85" s="15">
        <f>VLOOKUP([1]!MOVIMENTACOES[[#This Row],[DESC %]],[1]!DESC[#Data],2,TRUE)</f>
        <v>2.5000000000000001E-3</v>
      </c>
      <c r="K85" s="15">
        <f>_xlfn.XLOOKUP([1]!MOVIMENTACOES[[#This Row],[NF-e]],'[1]PEDIDOS E COMISSOES'!A:A,'[1]PEDIDOS E COMISSOES'!E:E,"VERIFICAR",0,1)</f>
        <v>-1E-3</v>
      </c>
      <c r="L85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85" s="16">
        <f>[1]!MOVIMENTACOES[[#This Row],[COMISSÃO FINAL]]*([1]!MOVIMENTACOES[[#This Row],[PREÇO NET]]*[1]!MOVIMENTACOES[[#This Row],[Qtde]])</f>
        <v>0.10299000000000001</v>
      </c>
      <c r="N85" s="14" t="str">
        <f>_xlfn.XLOOKUP(LEFT([1]!MOVIMENTACOES[[#This Row],[Código]],3),'[1]BASE DE FABRICANTES'!A:A,'[1]BASE DE FABRICANTES'!B:B,"VERIFICAR",0,1)</f>
        <v>HAIHANG</v>
      </c>
      <c r="O85" s="14">
        <f>[1]!MOVIMENTACOES[[#This Row],[PREÇO NET]]*[1]!MOVIMENTACOES[[#This Row],[Qtde]]</f>
        <v>68.660000000000011</v>
      </c>
      <c r="P85" s="3" t="s">
        <v>330</v>
      </c>
      <c r="Q85" s="3" t="s">
        <v>376</v>
      </c>
      <c r="R85" s="3" t="s">
        <v>49</v>
      </c>
      <c r="S85" s="3" t="s">
        <v>332</v>
      </c>
      <c r="T85" s="6">
        <v>46034</v>
      </c>
      <c r="U85" s="6" t="s">
        <v>536</v>
      </c>
      <c r="V85" s="3" t="s">
        <v>91</v>
      </c>
      <c r="W85" s="3"/>
      <c r="X85" s="3"/>
      <c r="Y85" s="3" t="s">
        <v>537</v>
      </c>
      <c r="Z85" s="3" t="s">
        <v>538</v>
      </c>
      <c r="AA85" s="3" t="s">
        <v>539</v>
      </c>
      <c r="AB85" s="3"/>
      <c r="AC85" s="3" t="s">
        <v>53</v>
      </c>
      <c r="AD85" s="3" t="s">
        <v>338</v>
      </c>
      <c r="AE85" s="3" t="s">
        <v>44</v>
      </c>
      <c r="AF85" s="3" t="s">
        <v>45</v>
      </c>
      <c r="AG85" s="3" t="s">
        <v>46</v>
      </c>
      <c r="AH85" s="3" t="s">
        <v>47</v>
      </c>
      <c r="AI85" s="3" t="s">
        <v>48</v>
      </c>
      <c r="AJ85" s="4">
        <v>1</v>
      </c>
      <c r="AK85" s="4">
        <v>30</v>
      </c>
      <c r="AL85" s="4">
        <v>0</v>
      </c>
      <c r="AM85" s="5">
        <v>22.419750000000001</v>
      </c>
      <c r="AN85" s="5">
        <v>86.9</v>
      </c>
      <c r="AO85" s="5">
        <v>22.419750000000001</v>
      </c>
      <c r="AP85" s="5">
        <v>86.9</v>
      </c>
      <c r="AQ85" s="5">
        <v>86.9</v>
      </c>
      <c r="AR85" s="5">
        <v>15.64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/>
      <c r="AY85" s="5"/>
      <c r="AZ85" s="5"/>
      <c r="BA85" s="5">
        <v>0</v>
      </c>
      <c r="BB85" s="5">
        <v>0</v>
      </c>
      <c r="BC85" s="5">
        <v>0</v>
      </c>
      <c r="BD85" s="5">
        <v>71.260000000000005</v>
      </c>
      <c r="BE85" s="5">
        <v>0.46</v>
      </c>
      <c r="BF85" s="5">
        <v>0</v>
      </c>
      <c r="BG85" s="5">
        <v>71.260000000000005</v>
      </c>
      <c r="BH85" s="5">
        <v>2.14</v>
      </c>
      <c r="BI85" s="5">
        <v>0</v>
      </c>
      <c r="BJ85" s="5">
        <v>0</v>
      </c>
      <c r="BK85" s="5">
        <v>0</v>
      </c>
      <c r="BL85" s="3" t="s">
        <v>49</v>
      </c>
      <c r="BM85" s="3"/>
      <c r="BN85" s="3" t="s">
        <v>97</v>
      </c>
      <c r="BO85" s="3" t="s">
        <v>51</v>
      </c>
      <c r="BP85" s="3" t="s">
        <v>340</v>
      </c>
      <c r="BQ85" s="6">
        <v>46617</v>
      </c>
    </row>
    <row r="86" spans="1:69" x14ac:dyDescent="0.25">
      <c r="A86" s="11" t="str">
        <f>LEFT([1]!MOVIMENTACOES[[#This Row],[Código]],9)</f>
        <v>030004008</v>
      </c>
      <c r="B86" s="11" t="s">
        <v>149</v>
      </c>
      <c r="C86" s="11" t="str">
        <f>TRIM(IFERROR(LEFT([1]!MOVIMENTACOES[[#This Row],[Descrição]],SEARCH([1]!MOVIMENTACOES[[#This Row],[EMBALAGEM]],[1]!MOVIMENTACOES[[#This Row],[Descrição]],1)-1),[1]!MOVIMENTACOES[[#This Row],[Descrição]]))</f>
        <v>TRANEXAMIC ACID</v>
      </c>
      <c r="D86" s="11" t="str">
        <f>_xlfn.CONCAT([1]!MOVIMENTACOES[[#This Row],[FABRICANTE]],[1]!MOVIMENTACOES[[#This Row],[DESCRIÇÃO SEM EMBALAGEM]],[1]!MOVIMENTACOES[[#This Row],[Coluna1]])</f>
        <v>SPEC CHEMTRANEXAMIC ACID1</v>
      </c>
      <c r="E86" s="12">
        <f>_xlfn.XLOOKUP([1]!MOVIMENTACOES[[#This Row],[CONCAT]],'[2]PRICE LIST'!$G:$G,'[2]PRICE LIST'!$Q:$Q,"VERIFICAR",0,1)</f>
        <v>346.49843750000002</v>
      </c>
      <c r="F86" s="13">
        <f>_xlfn.XLOOKUP([1]!MOVIMENTACOES[[#This Row],[Data]],[1]PTAX!A:A,[1]PTAX!C:C,"VERIFICAR",0,1)*[1]!MOVIMENTACOES[[#This Row],[PREÇO DE LISTA DOLAR]]</f>
        <v>1862.5677009375001</v>
      </c>
      <c r="G86" s="14">
        <f>[1]!MOVIMENTACOES[[#This Row],[PREÇO NET]]-[1]!MOVIMENTACOES[[#This Row],[PREÇO DE LISTA REAL]]</f>
        <v>-505.54170093750031</v>
      </c>
      <c r="H86" s="15">
        <f>-[1]!MOVIMENTACOES[[#This Row],[DESCONTO CONCEDIDO]]/[1]!MOVIMENTACOES[[#This Row],[PREÇO DE LISTA REAL]]</f>
        <v>0.27142191968809631</v>
      </c>
      <c r="I8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1357.0259999999998</v>
      </c>
      <c r="J86" s="15">
        <f>VLOOKUP([1]!MOVIMENTACOES[[#This Row],[DESC %]],[1]!DESC[#Data],2,TRUE)</f>
        <v>2.5000000000000001E-3</v>
      </c>
      <c r="K86" s="15">
        <f>_xlfn.XLOOKUP([1]!MOVIMENTACOES[[#This Row],[NF-e]],'[1]PEDIDOS E COMISSOES'!A:A,'[1]PEDIDOS E COMISSOES'!E:E,"VERIFICAR",0,1)</f>
        <v>-1E-3</v>
      </c>
      <c r="L86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86" s="16">
        <f>[1]!MOVIMENTACOES[[#This Row],[COMISSÃO FINAL]]*([1]!MOVIMENTACOES[[#This Row],[PREÇO NET]]*[1]!MOVIMENTACOES[[#This Row],[Qtde]])</f>
        <v>10.177694999999998</v>
      </c>
      <c r="N86" s="14" t="str">
        <f>_xlfn.XLOOKUP(LEFT([1]!MOVIMENTACOES[[#This Row],[Código]],3),'[1]BASE DE FABRICANTES'!A:A,'[1]BASE DE FABRICANTES'!B:B,"VERIFICAR",0,1)</f>
        <v>SPEC CHEM</v>
      </c>
      <c r="O86" s="14">
        <f>[1]!MOVIMENTACOES[[#This Row],[PREÇO NET]]*[1]!MOVIMENTACOES[[#This Row],[Qtde]]</f>
        <v>6785.1299999999992</v>
      </c>
      <c r="P86" s="17" t="s">
        <v>579</v>
      </c>
      <c r="Q86" s="17" t="s">
        <v>561</v>
      </c>
      <c r="R86" s="17" t="s">
        <v>49</v>
      </c>
      <c r="S86" s="17" t="s">
        <v>535</v>
      </c>
      <c r="T86" s="18">
        <v>46034</v>
      </c>
      <c r="U86" s="18" t="s">
        <v>536</v>
      </c>
      <c r="V86" s="17" t="s">
        <v>91</v>
      </c>
      <c r="W86" s="17"/>
      <c r="X86" s="17"/>
      <c r="Y86" s="17" t="s">
        <v>537</v>
      </c>
      <c r="Z86" s="17" t="s">
        <v>538</v>
      </c>
      <c r="AA86" s="17" t="s">
        <v>539</v>
      </c>
      <c r="AB86" s="17"/>
      <c r="AC86" s="17" t="s">
        <v>53</v>
      </c>
      <c r="AD86" s="17"/>
      <c r="AE86" s="17" t="s">
        <v>44</v>
      </c>
      <c r="AF86" s="17" t="s">
        <v>45</v>
      </c>
      <c r="AG86" s="17" t="s">
        <v>46</v>
      </c>
      <c r="AH86" s="17" t="s">
        <v>47</v>
      </c>
      <c r="AI86" s="17" t="s">
        <v>48</v>
      </c>
      <c r="AJ86" s="19">
        <v>5</v>
      </c>
      <c r="AK86" s="19">
        <v>2</v>
      </c>
      <c r="AL86" s="19">
        <v>0</v>
      </c>
      <c r="AM86" s="20">
        <v>431.23439999999999</v>
      </c>
      <c r="AN86" s="20">
        <v>1717.6</v>
      </c>
      <c r="AO86" s="20">
        <v>2156.172</v>
      </c>
      <c r="AP86" s="20">
        <v>8588</v>
      </c>
      <c r="AQ86" s="20">
        <v>8588</v>
      </c>
      <c r="AR86" s="20">
        <v>1545.84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/>
      <c r="AY86" s="20"/>
      <c r="AZ86" s="20"/>
      <c r="BA86" s="20">
        <v>0</v>
      </c>
      <c r="BB86" s="20">
        <v>0</v>
      </c>
      <c r="BC86" s="20">
        <v>0</v>
      </c>
      <c r="BD86" s="20">
        <v>7042.16</v>
      </c>
      <c r="BE86" s="20">
        <v>45.77</v>
      </c>
      <c r="BF86" s="20">
        <v>0</v>
      </c>
      <c r="BG86" s="20">
        <v>7042.16</v>
      </c>
      <c r="BH86" s="20">
        <v>211.26</v>
      </c>
      <c r="BI86" s="20">
        <v>0</v>
      </c>
      <c r="BJ86" s="20">
        <v>0</v>
      </c>
      <c r="BK86" s="20">
        <v>0</v>
      </c>
      <c r="BL86" s="17" t="s">
        <v>49</v>
      </c>
      <c r="BM86" s="17"/>
      <c r="BN86" s="17" t="s">
        <v>97</v>
      </c>
      <c r="BO86" s="17" t="s">
        <v>51</v>
      </c>
      <c r="BP86" s="17" t="s">
        <v>580</v>
      </c>
      <c r="BQ86" s="18">
        <v>46835</v>
      </c>
    </row>
    <row r="87" spans="1:69" x14ac:dyDescent="0.25">
      <c r="A87" s="11" t="str">
        <f>LEFT([1]!MOVIMENTACOES[[#This Row],[Código]],9)</f>
        <v>026005051</v>
      </c>
      <c r="B87" s="11" t="s">
        <v>569</v>
      </c>
      <c r="C87" s="11" t="str">
        <f>TRIM(IFERROR(LEFT([1]!MOVIMENTACOES[[#This Row],[Descrição]],SEARCH([1]!MOVIMENTACOES[[#This Row],[EMBALAGEM]],[1]!MOVIMENTACOES[[#This Row],[Descrição]],1)-1),[1]!MOVIMENTACOES[[#This Row],[Descrição]]))</f>
        <v>NATURESCRUB H50</v>
      </c>
      <c r="D87" s="11" t="str">
        <f>_xlfn.CONCAT([1]!MOVIMENTACOES[[#This Row],[FABRICANTE]],[1]!MOVIMENTACOES[[#This Row],[DESCRIÇÃO SEM EMBALAGEM]],[1]!MOVIMENTACOES[[#This Row],[Coluna1]])</f>
        <v>MICRO POWDERSNATURESCRUB H5055</v>
      </c>
      <c r="E87" s="12">
        <f>_xlfn.XLOOKUP([1]!MOVIMENTACOES[[#This Row],[CONCAT]],'[2]PRICE LIST'!$G:$G,'[2]PRICE LIST'!$Q:$Q,"VERIFICAR",0,1)</f>
        <v>41.585781818181808</v>
      </c>
      <c r="F87" s="13">
        <f>_xlfn.XLOOKUP([1]!MOVIMENTACOES[[#This Row],[Data]],[1]PTAX!A:A,[1]PTAX!C:C,"VERIFICAR",0,1)*[1]!MOVIMENTACOES[[#This Row],[PREÇO DE LISTA DOLAR]]</f>
        <v>223.5402115854545</v>
      </c>
      <c r="G87" s="14">
        <f>[1]!MOVIMENTACOES[[#This Row],[PREÇO NET]]-[1]!MOVIMENTACOES[[#This Row],[PREÇO DE LISTA REAL]]</f>
        <v>-68.17466613090906</v>
      </c>
      <c r="H87" s="15">
        <f>-[1]!MOVIMENTACOES[[#This Row],[DESCONTO CONCEDIDO]]/[1]!MOVIMENTACOES[[#This Row],[PREÇO DE LISTA REAL]]</f>
        <v>0.30497719245849148</v>
      </c>
      <c r="I8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155.36554545454544</v>
      </c>
      <c r="J87" s="15">
        <f>VLOOKUP([1]!MOVIMENTACOES[[#This Row],[DESC %]],[1]!DESC[#Data],2,TRUE)</f>
        <v>2.5000000000000001E-3</v>
      </c>
      <c r="K87" s="15">
        <f>_xlfn.XLOOKUP([1]!MOVIMENTACOES[[#This Row],[NF-e]],'[1]PEDIDOS E COMISSOES'!A:A,'[1]PEDIDOS E COMISSOES'!E:E,"VERIFICAR",0,1)</f>
        <v>-1E-3</v>
      </c>
      <c r="L87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87" s="16">
        <f>[1]!MOVIMENTACOES[[#This Row],[COMISSÃO FINAL]]*([1]!MOVIMENTACOES[[#This Row],[PREÇO NET]]*[1]!MOVIMENTACOES[[#This Row],[Qtde]])</f>
        <v>25.635314999999999</v>
      </c>
      <c r="N87" s="14" t="str">
        <f>_xlfn.XLOOKUP(LEFT([1]!MOVIMENTACOES[[#This Row],[Código]],3),'[1]BASE DE FABRICANTES'!A:A,'[1]BASE DE FABRICANTES'!B:B,"VERIFICAR",0,1)</f>
        <v>MICRO POWDERS</v>
      </c>
      <c r="O87" s="14">
        <f>[1]!MOVIMENTACOES[[#This Row],[PREÇO NET]]*[1]!MOVIMENTACOES[[#This Row],[Qtde]]</f>
        <v>17090.21</v>
      </c>
      <c r="P87" s="3" t="s">
        <v>581</v>
      </c>
      <c r="Q87" s="3" t="s">
        <v>582</v>
      </c>
      <c r="R87" s="3" t="s">
        <v>49</v>
      </c>
      <c r="S87" s="3" t="s">
        <v>572</v>
      </c>
      <c r="T87" s="6">
        <v>46034</v>
      </c>
      <c r="U87" s="6" t="s">
        <v>583</v>
      </c>
      <c r="V87" s="3" t="s">
        <v>91</v>
      </c>
      <c r="W87" s="3"/>
      <c r="X87" s="3"/>
      <c r="Y87" s="3" t="s">
        <v>584</v>
      </c>
      <c r="Z87" s="3" t="s">
        <v>585</v>
      </c>
      <c r="AA87" s="3" t="s">
        <v>586</v>
      </c>
      <c r="AB87" s="3"/>
      <c r="AC87" s="3" t="s">
        <v>107</v>
      </c>
      <c r="AD87" s="3" t="s">
        <v>576</v>
      </c>
      <c r="AE87" s="3" t="s">
        <v>44</v>
      </c>
      <c r="AF87" s="3" t="s">
        <v>45</v>
      </c>
      <c r="AG87" s="3" t="s">
        <v>46</v>
      </c>
      <c r="AH87" s="3" t="s">
        <v>116</v>
      </c>
      <c r="AI87" s="3" t="s">
        <v>110</v>
      </c>
      <c r="AJ87" s="4">
        <v>110</v>
      </c>
      <c r="AK87" s="4">
        <v>440</v>
      </c>
      <c r="AL87" s="4">
        <v>0</v>
      </c>
      <c r="AM87" s="5">
        <v>105.36765782160001</v>
      </c>
      <c r="AN87" s="5">
        <v>167.97</v>
      </c>
      <c r="AO87" s="5">
        <v>11590.442360376001</v>
      </c>
      <c r="AP87" s="5">
        <v>18476.7</v>
      </c>
      <c r="AQ87" s="5">
        <v>18476.7</v>
      </c>
      <c r="AR87" s="5">
        <v>739.07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/>
      <c r="AY87" s="5"/>
      <c r="AZ87" s="5"/>
      <c r="BA87" s="5">
        <v>0</v>
      </c>
      <c r="BB87" s="5">
        <v>0</v>
      </c>
      <c r="BC87" s="5">
        <v>0</v>
      </c>
      <c r="BD87" s="5">
        <v>17737.63</v>
      </c>
      <c r="BE87" s="5">
        <v>115.29</v>
      </c>
      <c r="BF87" s="5">
        <v>0</v>
      </c>
      <c r="BG87" s="5">
        <v>17737.63</v>
      </c>
      <c r="BH87" s="5">
        <v>532.13</v>
      </c>
      <c r="BI87" s="5">
        <v>0</v>
      </c>
      <c r="BJ87" s="5">
        <v>0</v>
      </c>
      <c r="BK87" s="5">
        <v>0</v>
      </c>
      <c r="BL87" s="3" t="s">
        <v>49</v>
      </c>
      <c r="BM87" s="3"/>
      <c r="BN87" s="3" t="s">
        <v>97</v>
      </c>
      <c r="BO87" s="3" t="s">
        <v>51</v>
      </c>
      <c r="BP87" s="3" t="s">
        <v>587</v>
      </c>
      <c r="BQ87" s="6">
        <v>47687</v>
      </c>
    </row>
    <row r="88" spans="1:69" x14ac:dyDescent="0.25">
      <c r="A88" s="11" t="str">
        <f>LEFT([1]!MOVIMENTACOES[[#This Row],[Código]],9)</f>
        <v>026005001</v>
      </c>
      <c r="B88" s="11" t="s">
        <v>569</v>
      </c>
      <c r="C88" s="11" t="str">
        <f>TRIM(IFERROR(LEFT([1]!MOVIMENTACOES[[#This Row],[Descrição]],SEARCH([1]!MOVIMENTACOES[[#This Row],[EMBALAGEM]],[1]!MOVIMENTACOES[[#This Row],[Descrição]],1)-1),[1]!MOVIMENTACOES[[#This Row],[Descrição]]))</f>
        <v>NATURESCRUB H20</v>
      </c>
      <c r="D88" s="11" t="str">
        <f>_xlfn.CONCAT([1]!MOVIMENTACOES[[#This Row],[FABRICANTE]],[1]!MOVIMENTACOES[[#This Row],[DESCRIÇÃO SEM EMBALAGEM]],[1]!MOVIMENTACOES[[#This Row],[Coluna1]])</f>
        <v>MICRO POWDERSNATURESCRUB H2055</v>
      </c>
      <c r="E88" s="12">
        <f>_xlfn.XLOOKUP([1]!MOVIMENTACOES[[#This Row],[CONCAT]],'[2]PRICE LIST'!$G:$G,'[2]PRICE LIST'!$Q:$Q,"VERIFICAR",0,1)</f>
        <v>36.156745454545451</v>
      </c>
      <c r="F88" s="13">
        <f>_xlfn.XLOOKUP([1]!MOVIMENTACOES[[#This Row],[Data]],[1]PTAX!A:A,[1]PTAX!C:C,"VERIFICAR",0,1)*[1]!MOVIMENTACOES[[#This Row],[PREÇO DE LISTA DOLAR]]</f>
        <v>194.35696951636362</v>
      </c>
      <c r="G88" s="14">
        <f>[1]!MOVIMENTACOES[[#This Row],[PREÇO NET]]-[1]!MOVIMENTACOES[[#This Row],[PREÇO DE LISTA REAL]]</f>
        <v>-49.979969516363582</v>
      </c>
      <c r="H88" s="15">
        <f>-[1]!MOVIMENTACOES[[#This Row],[DESCONTO CONCEDIDO]]/[1]!MOVIMENTACOES[[#This Row],[PREÇO DE LISTA REAL]]</f>
        <v>0.25715553005757064</v>
      </c>
      <c r="I8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144.37700000000004</v>
      </c>
      <c r="J88" s="15">
        <f>VLOOKUP([1]!MOVIMENTACOES[[#This Row],[DESC %]],[1]!DESC[#Data],2,TRUE)</f>
        <v>2.5000000000000001E-3</v>
      </c>
      <c r="K88" s="15">
        <f>_xlfn.XLOOKUP([1]!MOVIMENTACOES[[#This Row],[NF-e]],'[1]PEDIDOS E COMISSOES'!A:A,'[1]PEDIDOS E COMISSOES'!E:E,"VERIFICAR",0,1)</f>
        <v>-1E-3</v>
      </c>
      <c r="L88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88" s="16">
        <f>[1]!MOVIMENTACOES[[#This Row],[COMISSÃO FINAL]]*([1]!MOVIMENTACOES[[#This Row],[PREÇO NET]]*[1]!MOVIMENTACOES[[#This Row],[Qtde]])</f>
        <v>23.822205000000007</v>
      </c>
      <c r="N88" s="14" t="str">
        <f>_xlfn.XLOOKUP(LEFT([1]!MOVIMENTACOES[[#This Row],[Código]],3),'[1]BASE DE FABRICANTES'!A:A,'[1]BASE DE FABRICANTES'!B:B,"VERIFICAR",0,1)</f>
        <v>MICRO POWDERS</v>
      </c>
      <c r="O88" s="14">
        <f>[1]!MOVIMENTACOES[[#This Row],[PREÇO NET]]*[1]!MOVIMENTACOES[[#This Row],[Qtde]]</f>
        <v>15881.470000000005</v>
      </c>
      <c r="P88" s="17" t="s">
        <v>570</v>
      </c>
      <c r="Q88" s="17" t="s">
        <v>571</v>
      </c>
      <c r="R88" s="17" t="s">
        <v>49</v>
      </c>
      <c r="S88" s="17" t="s">
        <v>572</v>
      </c>
      <c r="T88" s="18">
        <v>46034</v>
      </c>
      <c r="U88" s="18" t="s">
        <v>588</v>
      </c>
      <c r="V88" s="17" t="s">
        <v>91</v>
      </c>
      <c r="W88" s="17"/>
      <c r="X88" s="17"/>
      <c r="Y88" s="17" t="s">
        <v>589</v>
      </c>
      <c r="Z88" s="17" t="s">
        <v>590</v>
      </c>
      <c r="AA88" s="17" t="s">
        <v>591</v>
      </c>
      <c r="AB88" s="17"/>
      <c r="AC88" s="17" t="s">
        <v>107</v>
      </c>
      <c r="AD88" s="17" t="s">
        <v>576</v>
      </c>
      <c r="AE88" s="17" t="s">
        <v>44</v>
      </c>
      <c r="AF88" s="17" t="s">
        <v>45</v>
      </c>
      <c r="AG88" s="17" t="s">
        <v>46</v>
      </c>
      <c r="AH88" s="17" t="s">
        <v>116</v>
      </c>
      <c r="AI88" s="17" t="s">
        <v>110</v>
      </c>
      <c r="AJ88" s="19">
        <v>110</v>
      </c>
      <c r="AK88" s="19">
        <v>880</v>
      </c>
      <c r="AL88" s="19">
        <v>0</v>
      </c>
      <c r="AM88" s="20">
        <v>89.767737929999996</v>
      </c>
      <c r="AN88" s="20">
        <v>156.09</v>
      </c>
      <c r="AO88" s="20">
        <v>9874.4511722999996</v>
      </c>
      <c r="AP88" s="20">
        <v>17169.900000000001</v>
      </c>
      <c r="AQ88" s="20">
        <v>17169.900000000001</v>
      </c>
      <c r="AR88" s="20">
        <v>686.8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/>
      <c r="AY88" s="20"/>
      <c r="AZ88" s="20"/>
      <c r="BA88" s="20">
        <v>0</v>
      </c>
      <c r="BB88" s="20">
        <v>0</v>
      </c>
      <c r="BC88" s="20">
        <v>0</v>
      </c>
      <c r="BD88" s="20">
        <v>16483.099999999999</v>
      </c>
      <c r="BE88" s="20">
        <v>107.14</v>
      </c>
      <c r="BF88" s="20">
        <v>0</v>
      </c>
      <c r="BG88" s="20">
        <v>16483.099999999999</v>
      </c>
      <c r="BH88" s="20">
        <v>494.49</v>
      </c>
      <c r="BI88" s="20">
        <v>0</v>
      </c>
      <c r="BJ88" s="20">
        <v>0</v>
      </c>
      <c r="BK88" s="20">
        <v>0</v>
      </c>
      <c r="BL88" s="17" t="s">
        <v>49</v>
      </c>
      <c r="BM88" s="17"/>
      <c r="BN88" s="17" t="s">
        <v>97</v>
      </c>
      <c r="BO88" s="17" t="s">
        <v>51</v>
      </c>
      <c r="BP88" s="17" t="s">
        <v>577</v>
      </c>
      <c r="BQ88" s="18">
        <v>47589</v>
      </c>
    </row>
    <row r="89" spans="1:69" x14ac:dyDescent="0.25">
      <c r="A89" s="11" t="str">
        <f>LEFT([1]!MOVIMENTACOES[[#This Row],[Código]],9)</f>
        <v>026005001</v>
      </c>
      <c r="B89" s="11" t="s">
        <v>569</v>
      </c>
      <c r="C89" s="11" t="str">
        <f>TRIM(IFERROR(LEFT([1]!MOVIMENTACOES[[#This Row],[Descrição]],SEARCH([1]!MOVIMENTACOES[[#This Row],[EMBALAGEM]],[1]!MOVIMENTACOES[[#This Row],[Descrição]],1)-1),[1]!MOVIMENTACOES[[#This Row],[Descrição]]))</f>
        <v>NATURESCRUB H20</v>
      </c>
      <c r="D89" s="11" t="str">
        <f>_xlfn.CONCAT([1]!MOVIMENTACOES[[#This Row],[FABRICANTE]],[1]!MOVIMENTACOES[[#This Row],[DESCRIÇÃO SEM EMBALAGEM]],[1]!MOVIMENTACOES[[#This Row],[Coluna1]])</f>
        <v>MICRO POWDERSNATURESCRUB H2055</v>
      </c>
      <c r="E89" s="12">
        <f>_xlfn.XLOOKUP([1]!MOVIMENTACOES[[#This Row],[CONCAT]],'[2]PRICE LIST'!$G:$G,'[2]PRICE LIST'!$Q:$Q,"VERIFICAR",0,1)</f>
        <v>36.156745454545451</v>
      </c>
      <c r="F89" s="13">
        <f>_xlfn.XLOOKUP([1]!MOVIMENTACOES[[#This Row],[Data]],[1]PTAX!A:A,[1]PTAX!C:C,"VERIFICAR",0,1)*[1]!MOVIMENTACOES[[#This Row],[PREÇO DE LISTA DOLAR]]</f>
        <v>194.35696951636362</v>
      </c>
      <c r="G89" s="14">
        <f>[1]!MOVIMENTACOES[[#This Row],[PREÇO NET]]-[1]!MOVIMENTACOES[[#This Row],[PREÇO DE LISTA REAL]]</f>
        <v>-49.979951334545433</v>
      </c>
      <c r="H89" s="15">
        <f>-[1]!MOVIMENTACOES[[#This Row],[DESCONTO CONCEDIDO]]/[1]!MOVIMENTACOES[[#This Row],[PREÇO DE LISTA REAL]]</f>
        <v>0.25715543650899247</v>
      </c>
      <c r="I8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144.37701818181819</v>
      </c>
      <c r="J89" s="15">
        <f>VLOOKUP([1]!MOVIMENTACOES[[#This Row],[DESC %]],[1]!DESC[#Data],2,TRUE)</f>
        <v>2.5000000000000001E-3</v>
      </c>
      <c r="K89" s="15">
        <f>_xlfn.XLOOKUP([1]!MOVIMENTACOES[[#This Row],[NF-e]],'[1]PEDIDOS E COMISSOES'!A:A,'[1]PEDIDOS E COMISSOES'!E:E,"VERIFICAR",0,1)</f>
        <v>-1E-3</v>
      </c>
      <c r="L89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89" s="16">
        <f>[1]!MOVIMENTACOES[[#This Row],[COMISSÃO FINAL]]*([1]!MOVIMENTACOES[[#This Row],[PREÇO NET]]*[1]!MOVIMENTACOES[[#This Row],[Qtde]])</f>
        <v>59.555520000000001</v>
      </c>
      <c r="N89" s="14" t="str">
        <f>_xlfn.XLOOKUP(LEFT([1]!MOVIMENTACOES[[#This Row],[Código]],3),'[1]BASE DE FABRICANTES'!A:A,'[1]BASE DE FABRICANTES'!B:B,"VERIFICAR",0,1)</f>
        <v>MICRO POWDERS</v>
      </c>
      <c r="O89" s="14">
        <f>[1]!MOVIMENTACOES[[#This Row],[PREÇO NET]]*[1]!MOVIMENTACOES[[#This Row],[Qtde]]</f>
        <v>39703.68</v>
      </c>
      <c r="P89" s="3" t="s">
        <v>570</v>
      </c>
      <c r="Q89" s="3" t="s">
        <v>571</v>
      </c>
      <c r="R89" s="3" t="s">
        <v>49</v>
      </c>
      <c r="S89" s="3" t="s">
        <v>572</v>
      </c>
      <c r="T89" s="6">
        <v>46034</v>
      </c>
      <c r="U89" s="6" t="s">
        <v>592</v>
      </c>
      <c r="V89" s="3" t="s">
        <v>91</v>
      </c>
      <c r="W89" s="3"/>
      <c r="X89" s="3"/>
      <c r="Y89" s="3" t="s">
        <v>593</v>
      </c>
      <c r="Z89" s="3" t="s">
        <v>594</v>
      </c>
      <c r="AA89" s="3" t="s">
        <v>595</v>
      </c>
      <c r="AB89" s="3"/>
      <c r="AC89" s="3" t="s">
        <v>107</v>
      </c>
      <c r="AD89" s="3" t="s">
        <v>576</v>
      </c>
      <c r="AE89" s="3" t="s">
        <v>44</v>
      </c>
      <c r="AF89" s="3" t="s">
        <v>45</v>
      </c>
      <c r="AG89" s="3" t="s">
        <v>46</v>
      </c>
      <c r="AH89" s="3" t="s">
        <v>116</v>
      </c>
      <c r="AI89" s="3" t="s">
        <v>110</v>
      </c>
      <c r="AJ89" s="4">
        <v>275</v>
      </c>
      <c r="AK89" s="4">
        <v>440</v>
      </c>
      <c r="AL89" s="4">
        <v>0</v>
      </c>
      <c r="AM89" s="5">
        <v>89.767737929999996</v>
      </c>
      <c r="AN89" s="5">
        <v>156.09</v>
      </c>
      <c r="AO89" s="5">
        <v>24686.127930750001</v>
      </c>
      <c r="AP89" s="5">
        <v>42924.75</v>
      </c>
      <c r="AQ89" s="5">
        <v>42924.75</v>
      </c>
      <c r="AR89" s="5">
        <v>1716.99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/>
      <c r="AY89" s="5"/>
      <c r="AZ89" s="5"/>
      <c r="BA89" s="5">
        <v>0</v>
      </c>
      <c r="BB89" s="5">
        <v>0</v>
      </c>
      <c r="BC89" s="5">
        <v>0</v>
      </c>
      <c r="BD89" s="5">
        <v>41207.760000000002</v>
      </c>
      <c r="BE89" s="5">
        <v>267.85000000000002</v>
      </c>
      <c r="BF89" s="5">
        <v>0</v>
      </c>
      <c r="BG89" s="5">
        <v>41207.760000000002</v>
      </c>
      <c r="BH89" s="5">
        <v>1236.23</v>
      </c>
      <c r="BI89" s="5">
        <v>0</v>
      </c>
      <c r="BJ89" s="5">
        <v>0</v>
      </c>
      <c r="BK89" s="5">
        <v>0</v>
      </c>
      <c r="BL89" s="3" t="s">
        <v>49</v>
      </c>
      <c r="BM89" s="3"/>
      <c r="BN89" s="3" t="s">
        <v>97</v>
      </c>
      <c r="BO89" s="3" t="s">
        <v>51</v>
      </c>
      <c r="BP89" s="3" t="s">
        <v>577</v>
      </c>
      <c r="BQ89" s="6">
        <v>47589</v>
      </c>
    </row>
    <row r="90" spans="1:69" x14ac:dyDescent="0.25">
      <c r="A90" s="11" t="str">
        <f>LEFT([1]!MOVIMENTACOES[[#This Row],[Código]],9)</f>
        <v>004003009</v>
      </c>
      <c r="B90" s="11" t="s">
        <v>230</v>
      </c>
      <c r="C90" s="11" t="str">
        <f>TRIM(IFERROR(LEFT([1]!MOVIMENTACOES[[#This Row],[Descrição]],SEARCH([1]!MOVIMENTACOES[[#This Row],[EMBALAGEM]],[1]!MOVIMENTACOES[[#This Row],[Descrição]],1)-1),[1]!MOVIMENTACOES[[#This Row],[Descrição]]))</f>
        <v>INNOVA SERICITE M5</v>
      </c>
      <c r="D90" s="11" t="str">
        <f>_xlfn.CONCAT([1]!MOVIMENTACOES[[#This Row],[FABRICANTE]],[1]!MOVIMENTACOES[[#This Row],[DESCRIÇÃO SEM EMBALAGEM]],[1]!MOVIMENTACOES[[#This Row],[Coluna1]])</f>
        <v>HOCK CHEMIEINNOVA SERICITE M510</v>
      </c>
      <c r="E90" s="21">
        <f>_xlfn.XLOOKUP([1]!MOVIMENTACOES[[#This Row],[CONCAT]],'[2]PRICE LIST'!$G:$G,'[2]PRICE LIST'!$Q:$Q,"VERIFICAR",0,1)</f>
        <v>19.644444444444446</v>
      </c>
      <c r="F90" s="13">
        <f>_xlfn.XLOOKUP([1]!MOVIMENTACOES[[#This Row],[Data]],[1]PTAX!A:A,[1]PTAX!C:C,"VERIFICAR",0,1)*[1]!MOVIMENTACOES[[#This Row],[PREÇO DE LISTA DOLAR]]</f>
        <v>105.60460444444445</v>
      </c>
      <c r="G90" s="14">
        <f>[1]!MOVIMENTACOES[[#This Row],[PREÇO NET]]-[1]!MOVIMENTACOES[[#This Row],[PREÇO DE LISTA REAL]]</f>
        <v>-51.287304444444452</v>
      </c>
      <c r="H90" s="15">
        <f>-[1]!MOVIMENTACOES[[#This Row],[DESCONTO CONCEDIDO]]/[1]!MOVIMENTACOES[[#This Row],[PREÇO DE LISTA REAL]]</f>
        <v>0.48565405565649583</v>
      </c>
      <c r="I9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54.317299999999996</v>
      </c>
      <c r="J90" s="15">
        <f>VLOOKUP([1]!MOVIMENTACOES[[#This Row],[DESC %]],[1]!DESC[#Data],2,TRUE)</f>
        <v>2.5000000000000001E-3</v>
      </c>
      <c r="K90" s="15">
        <f>_xlfn.XLOOKUP([1]!MOVIMENTACOES[[#This Row],[NF-e]],'[1]PEDIDOS E COMISSOES'!A:A,'[1]PEDIDOS E COMISSOES'!E:E,"VERIFICAR",0,1)</f>
        <v>0</v>
      </c>
      <c r="L90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90" s="16">
        <f>[1]!MOVIMENTACOES[[#This Row],[COMISSÃO FINAL]]*([1]!MOVIMENTACOES[[#This Row],[PREÇO NET]]*[1]!MOVIMENTACOES[[#This Row],[Qtde]])</f>
        <v>67.896625</v>
      </c>
      <c r="N90" s="14" t="str">
        <f>_xlfn.XLOOKUP(LEFT([1]!MOVIMENTACOES[[#This Row],[Código]],3),'[1]BASE DE FABRICANTES'!A:A,'[1]BASE DE FABRICANTES'!B:B,"VERIFICAR",0,1)</f>
        <v>HOCK CHEMIE</v>
      </c>
      <c r="O90" s="14">
        <f>[1]!MOVIMENTACOES[[#This Row],[PREÇO NET]]*[1]!MOVIMENTACOES[[#This Row],[Qtde]]</f>
        <v>27158.649999999998</v>
      </c>
      <c r="P90" s="17" t="s">
        <v>596</v>
      </c>
      <c r="Q90" s="17" t="s">
        <v>597</v>
      </c>
      <c r="R90" s="17" t="s">
        <v>49</v>
      </c>
      <c r="S90" s="17" t="s">
        <v>598</v>
      </c>
      <c r="T90" s="18">
        <v>46035</v>
      </c>
      <c r="U90" s="18" t="s">
        <v>599</v>
      </c>
      <c r="V90" s="17" t="s">
        <v>91</v>
      </c>
      <c r="W90" s="17"/>
      <c r="X90" s="17"/>
      <c r="Y90" s="17" t="s">
        <v>600</v>
      </c>
      <c r="Z90" s="17" t="s">
        <v>601</v>
      </c>
      <c r="AA90" s="17" t="s">
        <v>602</v>
      </c>
      <c r="AB90" s="17"/>
      <c r="AC90" s="17" t="s">
        <v>603</v>
      </c>
      <c r="AD90" s="17" t="s">
        <v>239</v>
      </c>
      <c r="AE90" s="17" t="s">
        <v>44</v>
      </c>
      <c r="AF90" s="17" t="s">
        <v>45</v>
      </c>
      <c r="AG90" s="17" t="s">
        <v>46</v>
      </c>
      <c r="AH90" s="17" t="s">
        <v>47</v>
      </c>
      <c r="AI90" s="17" t="s">
        <v>48</v>
      </c>
      <c r="AJ90" s="19">
        <v>500</v>
      </c>
      <c r="AK90" s="19">
        <v>50</v>
      </c>
      <c r="AL90" s="19">
        <v>0</v>
      </c>
      <c r="AM90" s="20">
        <v>28.263616899199999</v>
      </c>
      <c r="AN90" s="20">
        <v>68.75</v>
      </c>
      <c r="AO90" s="20">
        <v>14131.808449599999</v>
      </c>
      <c r="AP90" s="20">
        <v>34375</v>
      </c>
      <c r="AQ90" s="20">
        <v>34375</v>
      </c>
      <c r="AR90" s="20">
        <v>6187.5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/>
      <c r="AY90" s="20"/>
      <c r="AZ90" s="20"/>
      <c r="BA90" s="20">
        <v>0</v>
      </c>
      <c r="BB90" s="20">
        <v>0</v>
      </c>
      <c r="BC90" s="20">
        <v>0</v>
      </c>
      <c r="BD90" s="20">
        <v>28187.5</v>
      </c>
      <c r="BE90" s="20">
        <v>183.22</v>
      </c>
      <c r="BF90" s="20">
        <v>0</v>
      </c>
      <c r="BG90" s="20">
        <v>28187.5</v>
      </c>
      <c r="BH90" s="20">
        <v>845.63</v>
      </c>
      <c r="BI90" s="20">
        <v>0</v>
      </c>
      <c r="BJ90" s="20">
        <v>0</v>
      </c>
      <c r="BK90" s="20">
        <v>0</v>
      </c>
      <c r="BL90" s="17" t="s">
        <v>49</v>
      </c>
      <c r="BM90" s="17"/>
      <c r="BN90" s="17" t="s">
        <v>184</v>
      </c>
      <c r="BO90" s="17" t="s">
        <v>51</v>
      </c>
      <c r="BP90" s="17" t="s">
        <v>604</v>
      </c>
      <c r="BQ90" s="18">
        <v>46854</v>
      </c>
    </row>
    <row r="91" spans="1:69" x14ac:dyDescent="0.25">
      <c r="A91" s="11" t="str">
        <f>LEFT([1]!MOVIMENTACOES[[#This Row],[Código]],9)</f>
        <v>030004051</v>
      </c>
      <c r="B91" s="11" t="s">
        <v>149</v>
      </c>
      <c r="C91" s="11" t="str">
        <f>TRIM(IFERROR(LEFT([1]!MOVIMENTACOES[[#This Row],[Descrição]],SEARCH([1]!MOVIMENTACOES[[#This Row],[EMBALAGEM]],[1]!MOVIMENTACOES[[#This Row],[Descrição]],1)-1),[1]!MOVIMENTACOES[[#This Row],[Descrição]]))</f>
        <v>Y-POLYGLUTAMIC ACID (700KDA) - MMW</v>
      </c>
      <c r="D91" s="11" t="str">
        <f>_xlfn.CONCAT([1]!MOVIMENTACOES[[#This Row],[FABRICANTE]],[1]!MOVIMENTACOES[[#This Row],[DESCRIÇÃO SEM EMBALAGEM]],[1]!MOVIMENTACOES[[#This Row],[Coluna1]])</f>
        <v>SPEC CHEMY-POLYGLUTAMIC ACID (700KDA) - MMW1</v>
      </c>
      <c r="E91" s="12">
        <f>_xlfn.XLOOKUP([1]!MOVIMENTACOES[[#This Row],[CONCAT]],'[2]PRICE LIST'!$G:$G,'[2]PRICE LIST'!$Q:$Q,"VERIFICAR",0,1)</f>
        <v>649.94000000000005</v>
      </c>
      <c r="F91" s="13">
        <f>_xlfn.XLOOKUP([1]!MOVIMENTACOES[[#This Row],[Data]],[1]PTAX!A:A,[1]PTAX!C:C,"VERIFICAR",0,1)*[1]!MOVIMENTACOES[[#This Row],[PREÇO DE LISTA DOLAR]]</f>
        <v>3493.9474520000003</v>
      </c>
      <c r="G91" s="14">
        <f>[1]!MOVIMENTACOES[[#This Row],[PREÇO NET]]-[1]!MOVIMENTACOES[[#This Row],[PREÇO DE LISTA REAL]]</f>
        <v>1877.3725480000003</v>
      </c>
      <c r="H91" s="15">
        <f>-[1]!MOVIMENTACOES[[#This Row],[DESCONTO CONCEDIDO]]/[1]!MOVIMENTACOES[[#This Row],[PREÇO DE LISTA REAL]]</f>
        <v>-0.53732134606814352</v>
      </c>
      <c r="I9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5371.3200000000006</v>
      </c>
      <c r="J91" s="15">
        <f>VLOOKUP([1]!MOVIMENTACOES[[#This Row],[DESC %]],[1]!DESC[#Data],2,TRUE)</f>
        <v>0.01</v>
      </c>
      <c r="K91" s="15">
        <f>_xlfn.XLOOKUP([1]!MOVIMENTACOES[[#This Row],[NF-e]],'[1]PEDIDOS E COMISSOES'!A:A,'[1]PEDIDOS E COMISSOES'!E:E,"VERIFICAR",0,1)</f>
        <v>0</v>
      </c>
      <c r="L91" s="15">
        <f>IF([1]!MOVIMENTACOES[[#This Row],[PERCENTUAL DE COMISSÕES]]+[1]!MOVIMENTACOES[[#This Row],[AJUSTE COMISSÃO]]&lt;0.06%,0.05%,[1]!MOVIMENTACOES[[#This Row],[PERCENTUAL DE COMISSÕES]]+[1]!MOVIMENTACOES[[#This Row],[AJUSTE COMISSÃO]])</f>
        <v>0.01</v>
      </c>
      <c r="M91" s="16">
        <f>[1]!MOVIMENTACOES[[#This Row],[COMISSÃO FINAL]]*([1]!MOVIMENTACOES[[#This Row],[PREÇO NET]]*[1]!MOVIMENTACOES[[#This Row],[Qtde]])</f>
        <v>53.713200000000008</v>
      </c>
      <c r="N91" s="14" t="str">
        <f>_xlfn.XLOOKUP(LEFT([1]!MOVIMENTACOES[[#This Row],[Código]],3),'[1]BASE DE FABRICANTES'!A:A,'[1]BASE DE FABRICANTES'!B:B,"VERIFICAR",0,1)</f>
        <v>SPEC CHEM</v>
      </c>
      <c r="O91" s="14">
        <f>[1]!MOVIMENTACOES[[#This Row],[PREÇO NET]]*[1]!MOVIMENTACOES[[#This Row],[Qtde]]</f>
        <v>5371.3200000000006</v>
      </c>
      <c r="P91" s="3" t="s">
        <v>605</v>
      </c>
      <c r="Q91" s="3" t="s">
        <v>606</v>
      </c>
      <c r="R91" s="3" t="s">
        <v>49</v>
      </c>
      <c r="S91" s="3" t="s">
        <v>102</v>
      </c>
      <c r="T91" s="6">
        <v>46035</v>
      </c>
      <c r="U91" s="6" t="s">
        <v>607</v>
      </c>
      <c r="V91" s="3" t="s">
        <v>91</v>
      </c>
      <c r="W91" s="3"/>
      <c r="X91" s="3"/>
      <c r="Y91" s="3" t="s">
        <v>608</v>
      </c>
      <c r="Z91" s="3" t="s">
        <v>609</v>
      </c>
      <c r="AA91" s="3" t="s">
        <v>610</v>
      </c>
      <c r="AB91" s="3"/>
      <c r="AC91" s="3" t="s">
        <v>611</v>
      </c>
      <c r="AD91" s="3"/>
      <c r="AE91" s="3" t="s">
        <v>44</v>
      </c>
      <c r="AF91" s="3" t="s">
        <v>45</v>
      </c>
      <c r="AG91" s="3" t="s">
        <v>46</v>
      </c>
      <c r="AH91" s="3" t="s">
        <v>47</v>
      </c>
      <c r="AI91" s="3" t="s">
        <v>48</v>
      </c>
      <c r="AJ91" s="4">
        <v>1</v>
      </c>
      <c r="AK91" s="4">
        <v>1</v>
      </c>
      <c r="AL91" s="4">
        <v>0</v>
      </c>
      <c r="AM91" s="5">
        <v>1470.4257775637</v>
      </c>
      <c r="AN91" s="5">
        <v>6798.54</v>
      </c>
      <c r="AO91" s="5">
        <v>1470.4257775637</v>
      </c>
      <c r="AP91" s="5">
        <v>6798.54</v>
      </c>
      <c r="AQ91" s="5">
        <v>6798.54</v>
      </c>
      <c r="AR91" s="5">
        <v>1223.74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/>
      <c r="AY91" s="5"/>
      <c r="AZ91" s="5"/>
      <c r="BA91" s="5">
        <v>6798.54</v>
      </c>
      <c r="BB91" s="5">
        <v>220.95</v>
      </c>
      <c r="BC91" s="5">
        <v>0</v>
      </c>
      <c r="BD91" s="5">
        <v>5574.8</v>
      </c>
      <c r="BE91" s="5">
        <v>36.24</v>
      </c>
      <c r="BF91" s="5">
        <v>0</v>
      </c>
      <c r="BG91" s="5">
        <v>5574.8</v>
      </c>
      <c r="BH91" s="5">
        <v>167.24</v>
      </c>
      <c r="BI91" s="5">
        <v>0</v>
      </c>
      <c r="BJ91" s="5">
        <v>0</v>
      </c>
      <c r="BK91" s="5">
        <v>0</v>
      </c>
      <c r="BL91" s="3" t="s">
        <v>49</v>
      </c>
      <c r="BM91" s="3"/>
      <c r="BN91" s="3" t="s">
        <v>50</v>
      </c>
      <c r="BO91" s="3" t="s">
        <v>51</v>
      </c>
      <c r="BP91" s="3" t="s">
        <v>612</v>
      </c>
      <c r="BQ91" s="6">
        <v>46623</v>
      </c>
    </row>
    <row r="92" spans="1:69" x14ac:dyDescent="0.25">
      <c r="A92" s="11" t="str">
        <f>LEFT([1]!MOVIMENTACOES[[#This Row],[Código]],9)</f>
        <v>030004008</v>
      </c>
      <c r="B92" s="11" t="s">
        <v>204</v>
      </c>
      <c r="C92" s="11" t="str">
        <f>TRIM(IFERROR(LEFT([1]!MOVIMENTACOES[[#This Row],[Descrição]],SEARCH([1]!MOVIMENTACOES[[#This Row],[EMBALAGEM]],[1]!MOVIMENTACOES[[#This Row],[Descrição]],1)-1),[1]!MOVIMENTACOES[[#This Row],[Descrição]]))</f>
        <v>TRANEXAMIC ACID</v>
      </c>
      <c r="D92" s="11" t="str">
        <f>_xlfn.CONCAT([1]!MOVIMENTACOES[[#This Row],[FABRICANTE]],[1]!MOVIMENTACOES[[#This Row],[DESCRIÇÃO SEM EMBALAGEM]],[1]!MOVIMENTACOES[[#This Row],[Coluna1]])</f>
        <v>SPEC CHEMTRANEXAMIC ACID25</v>
      </c>
      <c r="E92" s="12">
        <f>_xlfn.XLOOKUP([1]!MOVIMENTACOES[[#This Row],[CONCAT]],'[2]PRICE LIST'!$G:$G,'[2]PRICE LIST'!$Q:$Q,"VERIFICAR",0,1)</f>
        <v>200.02599999999998</v>
      </c>
      <c r="F92" s="13">
        <f>_xlfn.XLOOKUP([1]!MOVIMENTACOES[[#This Row],[Data]],[1]PTAX!A:A,[1]PTAX!C:C,"VERIFICAR",0,1)*[1]!MOVIMENTACOES[[#This Row],[PREÇO DE LISTA DOLAR]]</f>
        <v>1075.2997707999998</v>
      </c>
      <c r="G92" s="14">
        <f>[1]!MOVIMENTACOES[[#This Row],[PREÇO NET]]-[1]!MOVIMENTACOES[[#This Row],[PREÇO DE LISTA REAL]]</f>
        <v>579.8298292000004</v>
      </c>
      <c r="H92" s="15">
        <f>-[1]!MOVIMENTACOES[[#This Row],[DESCONTO CONCEDIDO]]/[1]!MOVIMENTACOES[[#This Row],[PREÇO DE LISTA REAL]]</f>
        <v>-0.53922621853496677</v>
      </c>
      <c r="I9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1655.1296000000002</v>
      </c>
      <c r="J92" s="15">
        <f>VLOOKUP([1]!MOVIMENTACOES[[#This Row],[DESC %]],[1]!DESC[#Data],2,TRUE)</f>
        <v>0.01</v>
      </c>
      <c r="K92" s="15">
        <f>_xlfn.XLOOKUP([1]!MOVIMENTACOES[[#This Row],[NF-e]],'[1]PEDIDOS E COMISSOES'!A:A,'[1]PEDIDOS E COMISSOES'!E:E,"VERIFICAR",0,1)</f>
        <v>-1E-3</v>
      </c>
      <c r="L92" s="15">
        <f>IF([1]!MOVIMENTACOES[[#This Row],[PERCENTUAL DE COMISSÕES]]+[1]!MOVIMENTACOES[[#This Row],[AJUSTE COMISSÃO]]&lt;0.06%,0.05%,[1]!MOVIMENTACOES[[#This Row],[PERCENTUAL DE COMISSÕES]]+[1]!MOVIMENTACOES[[#This Row],[AJUSTE COMISSÃO]])</f>
        <v>9.0000000000000011E-3</v>
      </c>
      <c r="M92" s="16">
        <f>[1]!MOVIMENTACOES[[#This Row],[COMISSÃO FINAL]]*([1]!MOVIMENTACOES[[#This Row],[PREÇO NET]]*[1]!MOVIMENTACOES[[#This Row],[Qtde]])</f>
        <v>1489.6166400000004</v>
      </c>
      <c r="N92" s="14" t="str">
        <f>_xlfn.XLOOKUP(LEFT([1]!MOVIMENTACOES[[#This Row],[Código]],3),'[1]BASE DE FABRICANTES'!A:A,'[1]BASE DE FABRICANTES'!B:B,"VERIFICAR",0,1)</f>
        <v>SPEC CHEM</v>
      </c>
      <c r="O92" s="14">
        <f>[1]!MOVIMENTACOES[[#This Row],[PREÇO NET]]*[1]!MOVIMENTACOES[[#This Row],[Qtde]]</f>
        <v>165512.96000000002</v>
      </c>
      <c r="P92" s="17" t="s">
        <v>533</v>
      </c>
      <c r="Q92" s="17" t="s">
        <v>534</v>
      </c>
      <c r="R92" s="17" t="s">
        <v>49</v>
      </c>
      <c r="S92" s="17" t="s">
        <v>535</v>
      </c>
      <c r="T92" s="18">
        <v>46035</v>
      </c>
      <c r="U92" s="18" t="s">
        <v>613</v>
      </c>
      <c r="V92" s="17" t="s">
        <v>91</v>
      </c>
      <c r="W92" s="17"/>
      <c r="X92" s="17"/>
      <c r="Y92" s="17" t="s">
        <v>614</v>
      </c>
      <c r="Z92" s="17" t="s">
        <v>615</v>
      </c>
      <c r="AA92" s="17" t="s">
        <v>616</v>
      </c>
      <c r="AB92" s="17"/>
      <c r="AC92" s="17" t="s">
        <v>107</v>
      </c>
      <c r="AD92" s="17" t="s">
        <v>165</v>
      </c>
      <c r="AE92" s="17" t="s">
        <v>44</v>
      </c>
      <c r="AF92" s="17" t="s">
        <v>45</v>
      </c>
      <c r="AG92" s="17" t="s">
        <v>46</v>
      </c>
      <c r="AH92" s="17" t="s">
        <v>116</v>
      </c>
      <c r="AI92" s="17" t="s">
        <v>110</v>
      </c>
      <c r="AJ92" s="19">
        <v>100</v>
      </c>
      <c r="AK92" s="19">
        <v>150</v>
      </c>
      <c r="AL92" s="19">
        <v>0</v>
      </c>
      <c r="AM92" s="20">
        <v>411.8940935219</v>
      </c>
      <c r="AN92" s="20">
        <v>1952.08</v>
      </c>
      <c r="AO92" s="20">
        <v>41189.409352189999</v>
      </c>
      <c r="AP92" s="20">
        <v>195208</v>
      </c>
      <c r="AQ92" s="20">
        <v>195208</v>
      </c>
      <c r="AR92" s="20">
        <v>23424.959999999999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/>
      <c r="AY92" s="20"/>
      <c r="AZ92" s="20"/>
      <c r="BA92" s="20">
        <v>0</v>
      </c>
      <c r="BB92" s="20">
        <v>0</v>
      </c>
      <c r="BC92" s="20">
        <v>0</v>
      </c>
      <c r="BD92" s="20">
        <v>171783.04000000001</v>
      </c>
      <c r="BE92" s="20">
        <v>1116.5899999999999</v>
      </c>
      <c r="BF92" s="20">
        <v>0</v>
      </c>
      <c r="BG92" s="20">
        <v>171783.04000000001</v>
      </c>
      <c r="BH92" s="20">
        <v>5153.49</v>
      </c>
      <c r="BI92" s="20">
        <v>0</v>
      </c>
      <c r="BJ92" s="20">
        <v>0</v>
      </c>
      <c r="BK92" s="20">
        <v>0</v>
      </c>
      <c r="BL92" s="17" t="s">
        <v>49</v>
      </c>
      <c r="BM92" s="17"/>
      <c r="BN92" s="17" t="s">
        <v>97</v>
      </c>
      <c r="BO92" s="17" t="s">
        <v>51</v>
      </c>
      <c r="BP92" s="17" t="s">
        <v>617</v>
      </c>
      <c r="BQ92" s="18">
        <v>46916</v>
      </c>
    </row>
    <row r="93" spans="1:69" x14ac:dyDescent="0.25">
      <c r="A93" s="11" t="str">
        <f>LEFT([1]!MOVIMENTACOES[[#This Row],[Código]],9)</f>
        <v>067004016</v>
      </c>
      <c r="B93" s="11" t="s">
        <v>204</v>
      </c>
      <c r="C93" s="11" t="str">
        <f>TRIM(IFERROR(LEFT([1]!MOVIMENTACOES[[#This Row],[Descrição]],SEARCH([1]!MOVIMENTACOES[[#This Row],[EMBALAGEM]],[1]!MOVIMENTACOES[[#This Row],[Descrição]],1)-1),[1]!MOVIMENTACOES[[#This Row],[Descrição]]))</f>
        <v>SALICYLIC ACID</v>
      </c>
      <c r="D93" s="11" t="str">
        <f>_xlfn.CONCAT([1]!MOVIMENTACOES[[#This Row],[FABRICANTE]],[1]!MOVIMENTACOES[[#This Row],[DESCRIÇÃO SEM EMBALAGEM]],[1]!MOVIMENTACOES[[#This Row],[Coluna1]])</f>
        <v>CHEMAXCELSALICYLIC ACID25</v>
      </c>
      <c r="E93" s="12">
        <f>_xlfn.XLOOKUP([1]!MOVIMENTACOES[[#This Row],[CONCAT]],'[2]PRICE LIST'!$G:$G,'[2]PRICE LIST'!$Q:$Q,"VERIFICAR",0,1)</f>
        <v>14.499999999999998</v>
      </c>
      <c r="F93" s="13">
        <f>_xlfn.XLOOKUP([1]!MOVIMENTACOES[[#This Row],[Data]],[1]PTAX!A:A,[1]PTAX!C:C,"VERIFICAR",0,1)*[1]!MOVIMENTACOES[[#This Row],[PREÇO DE LISTA DOLAR]]</f>
        <v>77.949099999999987</v>
      </c>
      <c r="G93" s="14">
        <f>[1]!MOVIMENTACOES[[#This Row],[PREÇO NET]]-[1]!MOVIMENTACOES[[#This Row],[PREÇO DE LISTA REAL]]</f>
        <v>7.1255000000000166</v>
      </c>
      <c r="H93" s="15">
        <f>-[1]!MOVIMENTACOES[[#This Row],[DESCONTO CONCEDIDO]]/[1]!MOVIMENTACOES[[#This Row],[PREÇO DE LISTA REAL]]</f>
        <v>-9.1412216433544677E-2</v>
      </c>
      <c r="I9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85.074600000000004</v>
      </c>
      <c r="J93" s="15">
        <f>VLOOKUP([1]!MOVIMENTACOES[[#This Row],[DESC %]],[1]!DESC[#Data],2,TRUE)</f>
        <v>0.01</v>
      </c>
      <c r="K93" s="15">
        <f>_xlfn.XLOOKUP([1]!MOVIMENTACOES[[#This Row],[NF-e]],'[1]PEDIDOS E COMISSOES'!A:A,'[1]PEDIDOS E COMISSOES'!E:E,"VERIFICAR",0,1)</f>
        <v>0</v>
      </c>
      <c r="L93" s="15">
        <f>IF([1]!MOVIMENTACOES[[#This Row],[PERCENTUAL DE COMISSÕES]]+[1]!MOVIMENTACOES[[#This Row],[AJUSTE COMISSÃO]]&lt;0.06%,0.05%,[1]!MOVIMENTACOES[[#This Row],[PERCENTUAL DE COMISSÕES]]+[1]!MOVIMENTACOES[[#This Row],[AJUSTE COMISSÃO]])</f>
        <v>0.01</v>
      </c>
      <c r="M93" s="16">
        <f>[1]!MOVIMENTACOES[[#This Row],[COMISSÃO FINAL]]*([1]!MOVIMENTACOES[[#This Row],[PREÇO NET]]*[1]!MOVIMENTACOES[[#This Row],[Qtde]])</f>
        <v>42.537300000000009</v>
      </c>
      <c r="N93" s="14" t="str">
        <f>_xlfn.XLOOKUP(LEFT([1]!MOVIMENTACOES[[#This Row],[Código]],3),'[1]BASE DE FABRICANTES'!A:A,'[1]BASE DE FABRICANTES'!B:B,"VERIFICAR",0,1)</f>
        <v>CHEMAXCEL</v>
      </c>
      <c r="O93" s="14">
        <f>[1]!MOVIMENTACOES[[#This Row],[PREÇO NET]]*[1]!MOVIMENTACOES[[#This Row],[Qtde]]</f>
        <v>4253.7300000000005</v>
      </c>
      <c r="P93" s="3" t="s">
        <v>618</v>
      </c>
      <c r="Q93" s="3" t="s">
        <v>619</v>
      </c>
      <c r="R93" s="3" t="s">
        <v>49</v>
      </c>
      <c r="S93" s="3" t="s">
        <v>620</v>
      </c>
      <c r="T93" s="6">
        <v>46035</v>
      </c>
      <c r="U93" s="6" t="s">
        <v>607</v>
      </c>
      <c r="V93" s="3" t="s">
        <v>91</v>
      </c>
      <c r="W93" s="3"/>
      <c r="X93" s="3"/>
      <c r="Y93" s="3" t="s">
        <v>608</v>
      </c>
      <c r="Z93" s="3" t="s">
        <v>609</v>
      </c>
      <c r="AA93" s="3" t="s">
        <v>610</v>
      </c>
      <c r="AB93" s="3"/>
      <c r="AC93" s="3" t="s">
        <v>611</v>
      </c>
      <c r="AD93" s="3" t="s">
        <v>134</v>
      </c>
      <c r="AE93" s="3" t="s">
        <v>44</v>
      </c>
      <c r="AF93" s="3" t="s">
        <v>45</v>
      </c>
      <c r="AG93" s="3" t="s">
        <v>46</v>
      </c>
      <c r="AH93" s="3" t="s">
        <v>47</v>
      </c>
      <c r="AI93" s="3" t="s">
        <v>48</v>
      </c>
      <c r="AJ93" s="4">
        <v>50</v>
      </c>
      <c r="AK93" s="4">
        <v>4350</v>
      </c>
      <c r="AL93" s="4">
        <v>0</v>
      </c>
      <c r="AM93" s="5">
        <v>22.025158685200001</v>
      </c>
      <c r="AN93" s="5">
        <v>107.68</v>
      </c>
      <c r="AO93" s="5">
        <v>1101.25793426</v>
      </c>
      <c r="AP93" s="5">
        <v>5384</v>
      </c>
      <c r="AQ93" s="5">
        <v>5384</v>
      </c>
      <c r="AR93" s="5">
        <v>969.12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/>
      <c r="AY93" s="5"/>
      <c r="AZ93" s="5"/>
      <c r="BA93" s="5">
        <v>0</v>
      </c>
      <c r="BB93" s="5">
        <v>0</v>
      </c>
      <c r="BC93" s="5">
        <v>0</v>
      </c>
      <c r="BD93" s="5">
        <v>4414.88</v>
      </c>
      <c r="BE93" s="5">
        <v>28.7</v>
      </c>
      <c r="BF93" s="5">
        <v>0</v>
      </c>
      <c r="BG93" s="5">
        <v>4414.88</v>
      </c>
      <c r="BH93" s="5">
        <v>132.44999999999999</v>
      </c>
      <c r="BI93" s="5">
        <v>0</v>
      </c>
      <c r="BJ93" s="5">
        <v>0</v>
      </c>
      <c r="BK93" s="5">
        <v>0</v>
      </c>
      <c r="BL93" s="3" t="s">
        <v>49</v>
      </c>
      <c r="BM93" s="3"/>
      <c r="BN93" s="3" t="s">
        <v>50</v>
      </c>
      <c r="BO93" s="3" t="s">
        <v>51</v>
      </c>
      <c r="BP93" s="3" t="s">
        <v>621</v>
      </c>
      <c r="BQ93" s="6">
        <v>46994</v>
      </c>
    </row>
    <row r="94" spans="1:69" x14ac:dyDescent="0.25">
      <c r="A94" s="11" t="str">
        <f>LEFT([1]!MOVIMENTACOES[[#This Row],[Código]],9)</f>
        <v>001004010</v>
      </c>
      <c r="B94" s="11" t="s">
        <v>149</v>
      </c>
      <c r="C94" s="11" t="str">
        <f>TRIM(IFERROR(LEFT([1]!MOVIMENTACOES[[#This Row],[Descrição]],SEARCH([1]!MOVIMENTACOES[[#This Row],[EMBALAGEM]],[1]!MOVIMENTACOES[[#This Row],[Descrição]],1)-1),[1]!MOVIMENTACOES[[#This Row],[Descrição]]))</f>
        <v>NEUROLIGHT 61G</v>
      </c>
      <c r="D94" s="11" t="str">
        <f>_xlfn.CONCAT([1]!MOVIMENTACOES[[#This Row],[FABRICANTE]],[1]!MOVIMENTACOES[[#This Row],[DESCRIÇÃO SEM EMBALAGEM]],[1]!MOVIMENTACOES[[#This Row],[Coluna1]])</f>
        <v>CODIFNEUROLIGHT 61G1</v>
      </c>
      <c r="E94" s="12">
        <f>_xlfn.XLOOKUP([1]!MOVIMENTACOES[[#This Row],[CONCAT]],'[2]PRICE LIST'!$G:$G,'[2]PRICE LIST'!$Q:$Q,"VERIFICAR",0,1)</f>
        <v>304.28483098000004</v>
      </c>
      <c r="F94" s="13">
        <f>_xlfn.XLOOKUP([1]!MOVIMENTACOES[[#This Row],[Data]],[1]PTAX!A:A,[1]PTAX!C:C,"VERIFICAR",0,1)*[1]!MOVIMENTACOES[[#This Row],[PREÇO DE LISTA DOLAR]]</f>
        <v>1636.7176773583221</v>
      </c>
      <c r="G94" s="14">
        <f>[1]!MOVIMENTACOES[[#This Row],[PREÇO NET]]-[1]!MOVIMENTACOES[[#This Row],[PREÇO DE LISTA REAL]]</f>
        <v>580.12232264167801</v>
      </c>
      <c r="H94" s="15">
        <f>-[1]!MOVIMENTACOES[[#This Row],[DESCONTO CONCEDIDO]]/[1]!MOVIMENTACOES[[#This Row],[PREÇO DE LISTA REAL]]</f>
        <v>-0.35444251056052684</v>
      </c>
      <c r="I9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2216.84</v>
      </c>
      <c r="J94" s="15">
        <f>VLOOKUP([1]!MOVIMENTACOES[[#This Row],[DESC %]],[1]!DESC[#Data],2,TRUE)</f>
        <v>0.01</v>
      </c>
      <c r="K94" s="15">
        <f>_xlfn.XLOOKUP([1]!MOVIMENTACOES[[#This Row],[NF-e]],'[1]PEDIDOS E COMISSOES'!A:A,'[1]PEDIDOS E COMISSOES'!E:E,"VERIFICAR",0,1)</f>
        <v>-5.0000000000000001E-4</v>
      </c>
      <c r="L94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94" s="16">
        <f>[1]!MOVIMENTACOES[[#This Row],[COMISSÃO FINAL]]*([1]!MOVIMENTACOES[[#This Row],[PREÇO NET]]*[1]!MOVIMENTACOES[[#This Row],[Qtde]])</f>
        <v>21.059979999999999</v>
      </c>
      <c r="N94" s="14" t="str">
        <f>_xlfn.XLOOKUP(LEFT([1]!MOVIMENTACOES[[#This Row],[Código]],3),'[1]BASE DE FABRICANTES'!A:A,'[1]BASE DE FABRICANTES'!B:B,"VERIFICAR",0,1)</f>
        <v>CODIF</v>
      </c>
      <c r="O94" s="14">
        <f>[1]!MOVIMENTACOES[[#This Row],[PREÇO NET]]*[1]!MOVIMENTACOES[[#This Row],[Qtde]]</f>
        <v>2216.84</v>
      </c>
      <c r="P94" s="17" t="s">
        <v>387</v>
      </c>
      <c r="Q94" s="17" t="s">
        <v>622</v>
      </c>
      <c r="R94" s="17" t="s">
        <v>49</v>
      </c>
      <c r="S94" s="17" t="s">
        <v>120</v>
      </c>
      <c r="T94" s="18">
        <v>46036</v>
      </c>
      <c r="U94" s="18" t="s">
        <v>623</v>
      </c>
      <c r="V94" s="17" t="s">
        <v>91</v>
      </c>
      <c r="W94" s="17"/>
      <c r="X94" s="17"/>
      <c r="Y94" s="17" t="s">
        <v>624</v>
      </c>
      <c r="Z94" s="17" t="s">
        <v>625</v>
      </c>
      <c r="AA94" s="17" t="s">
        <v>626</v>
      </c>
      <c r="AB94" s="17"/>
      <c r="AC94" s="17" t="s">
        <v>627</v>
      </c>
      <c r="AD94" s="17" t="s">
        <v>125</v>
      </c>
      <c r="AE94" s="17" t="s">
        <v>44</v>
      </c>
      <c r="AF94" s="17" t="s">
        <v>45</v>
      </c>
      <c r="AG94" s="17" t="s">
        <v>46</v>
      </c>
      <c r="AH94" s="17" t="s">
        <v>339</v>
      </c>
      <c r="AI94" s="17" t="s">
        <v>110</v>
      </c>
      <c r="AJ94" s="19">
        <v>1</v>
      </c>
      <c r="AK94" s="19">
        <v>9</v>
      </c>
      <c r="AL94" s="19">
        <v>0</v>
      </c>
      <c r="AM94" s="20">
        <v>658.36235046110005</v>
      </c>
      <c r="AN94" s="20">
        <v>2396.69</v>
      </c>
      <c r="AO94" s="20">
        <v>658.36235046110005</v>
      </c>
      <c r="AP94" s="20">
        <v>2396.69</v>
      </c>
      <c r="AQ94" s="20">
        <v>2396.69</v>
      </c>
      <c r="AR94" s="20">
        <v>95.87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/>
      <c r="AY94" s="20"/>
      <c r="AZ94" s="20"/>
      <c r="BA94" s="20">
        <v>0</v>
      </c>
      <c r="BB94" s="20">
        <v>0</v>
      </c>
      <c r="BC94" s="20">
        <v>0</v>
      </c>
      <c r="BD94" s="20">
        <v>2300.8200000000002</v>
      </c>
      <c r="BE94" s="20">
        <v>14.96</v>
      </c>
      <c r="BF94" s="20">
        <v>0</v>
      </c>
      <c r="BG94" s="20">
        <v>2300.8200000000002</v>
      </c>
      <c r="BH94" s="20">
        <v>69.02</v>
      </c>
      <c r="BI94" s="20">
        <v>0</v>
      </c>
      <c r="BJ94" s="20">
        <v>0</v>
      </c>
      <c r="BK94" s="20">
        <v>0</v>
      </c>
      <c r="BL94" s="17" t="s">
        <v>49</v>
      </c>
      <c r="BM94" s="17"/>
      <c r="BN94" s="17" t="s">
        <v>50</v>
      </c>
      <c r="BO94" s="17" t="s">
        <v>51</v>
      </c>
      <c r="BP94" s="17" t="s">
        <v>628</v>
      </c>
      <c r="BQ94" s="18">
        <v>46922</v>
      </c>
    </row>
    <row r="95" spans="1:69" x14ac:dyDescent="0.25">
      <c r="A95" s="11" t="str">
        <f>LEFT([1]!MOVIMENTACOES[[#This Row],[Código]],9)</f>
        <v>090004023</v>
      </c>
      <c r="B95" s="11" t="s">
        <v>149</v>
      </c>
      <c r="C95" s="11" t="str">
        <f>TRIM(IFERROR(LEFT([1]!MOVIMENTACOES[[#This Row],[Descrição]],SEARCH([1]!MOVIMENTACOES[[#This Row],[EMBALAGEM]],[1]!MOVIMENTACOES[[#This Row],[Descrição]],1)-1),[1]!MOVIMENTACOES[[#This Row],[Descrição]]))</f>
        <v>WKPEP AKINE</v>
      </c>
      <c r="D95" s="11" t="str">
        <f>_xlfn.CONCAT([1]!MOVIMENTACOES[[#This Row],[FABRICANTE]],[1]!MOVIMENTACOES[[#This Row],[DESCRIÇÃO SEM EMBALAGEM]],[1]!MOVIMENTACOES[[#This Row],[Coluna1]])</f>
        <v>WINKEYWKPEP AKINE1</v>
      </c>
      <c r="E95" s="12">
        <f>_xlfn.XLOOKUP([1]!MOVIMENTACOES[[#This Row],[CONCAT]],'[2]PRICE LIST'!$G:$G,'[2]PRICE LIST'!$Q:$Q,"VERIFICAR",0,1)</f>
        <v>1371.9600000000003</v>
      </c>
      <c r="F95" s="13">
        <f>_xlfn.XLOOKUP([1]!MOVIMENTACOES[[#This Row],[Data]],[1]PTAX!A:A,[1]PTAX!C:C,"VERIFICAR",0,1)*[1]!MOVIMENTACOES[[#This Row],[PREÇO DE LISTA DOLAR]]</f>
        <v>7379.6356440000009</v>
      </c>
      <c r="G95" s="14">
        <f>[1]!MOVIMENTACOES[[#This Row],[PREÇO NET]]-[1]!MOVIMENTACOES[[#This Row],[PREÇO DE LISTA REAL]]</f>
        <v>-3212.9656439999999</v>
      </c>
      <c r="H95" s="15">
        <f>-[1]!MOVIMENTACOES[[#This Row],[DESCONTO CONCEDIDO]]/[1]!MOVIMENTACOES[[#This Row],[PREÇO DE LISTA REAL]]</f>
        <v>0.43538269353613623</v>
      </c>
      <c r="I9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4166.670000000001</v>
      </c>
      <c r="J95" s="15">
        <f>VLOOKUP([1]!MOVIMENTACOES[[#This Row],[DESC %]],[1]!DESC[#Data],2,TRUE)</f>
        <v>2.5000000000000001E-3</v>
      </c>
      <c r="K95" s="15">
        <f>_xlfn.XLOOKUP([1]!MOVIMENTACOES[[#This Row],[NF-e]],'[1]PEDIDOS E COMISSOES'!A:A,'[1]PEDIDOS E COMISSOES'!E:E,"VERIFICAR",0,1)</f>
        <v>5.0000000000000001E-4</v>
      </c>
      <c r="L95" s="15">
        <f>IF([1]!MOVIMENTACOES[[#This Row],[PERCENTUAL DE COMISSÕES]]+[1]!MOVIMENTACOES[[#This Row],[AJUSTE COMISSÃO]]&lt;0.06%,0.05%,[1]!MOVIMENTACOES[[#This Row],[PERCENTUAL DE COMISSÕES]]+[1]!MOVIMENTACOES[[#This Row],[AJUSTE COMISSÃO]])</f>
        <v>3.0000000000000001E-3</v>
      </c>
      <c r="M95" s="16">
        <f>[1]!MOVIMENTACOES[[#This Row],[COMISSÃO FINAL]]*([1]!MOVIMENTACOES[[#This Row],[PREÇO NET]]*[1]!MOVIMENTACOES[[#This Row],[Qtde]])</f>
        <v>12.500010000000003</v>
      </c>
      <c r="N95" s="14" t="str">
        <f>_xlfn.XLOOKUP(LEFT([1]!MOVIMENTACOES[[#This Row],[Código]],3),'[1]BASE DE FABRICANTES'!A:A,'[1]BASE DE FABRICANTES'!B:B,"VERIFICAR",0,1)</f>
        <v>WINKEY</v>
      </c>
      <c r="O95" s="14">
        <f>[1]!MOVIMENTACOES[[#This Row],[PREÇO NET]]*[1]!MOVIMENTACOES[[#This Row],[Qtde]]</f>
        <v>4166.670000000001</v>
      </c>
      <c r="P95" s="3" t="s">
        <v>629</v>
      </c>
      <c r="Q95" s="3" t="s">
        <v>630</v>
      </c>
      <c r="R95" s="3" t="s">
        <v>49</v>
      </c>
      <c r="S95" s="3" t="s">
        <v>444</v>
      </c>
      <c r="T95" s="6">
        <v>46036</v>
      </c>
      <c r="U95" s="6" t="s">
        <v>631</v>
      </c>
      <c r="V95" s="3" t="s">
        <v>91</v>
      </c>
      <c r="W95" s="3"/>
      <c r="X95" s="3"/>
      <c r="Y95" s="3" t="s">
        <v>632</v>
      </c>
      <c r="Z95" s="3" t="s">
        <v>633</v>
      </c>
      <c r="AA95" s="3" t="s">
        <v>634</v>
      </c>
      <c r="AB95" s="3"/>
      <c r="AC95" s="3" t="s">
        <v>635</v>
      </c>
      <c r="AD95" s="3" t="s">
        <v>445</v>
      </c>
      <c r="AE95" s="3" t="s">
        <v>44</v>
      </c>
      <c r="AF95" s="3" t="s">
        <v>45</v>
      </c>
      <c r="AG95" s="3" t="s">
        <v>46</v>
      </c>
      <c r="AH95" s="3" t="s">
        <v>47</v>
      </c>
      <c r="AI95" s="3" t="s">
        <v>48</v>
      </c>
      <c r="AJ95" s="4">
        <v>1</v>
      </c>
      <c r="AK95" s="4">
        <v>0</v>
      </c>
      <c r="AL95" s="4">
        <v>0</v>
      </c>
      <c r="AM95" s="5">
        <v>2078.3279814373</v>
      </c>
      <c r="AN95" s="5">
        <v>5273.81</v>
      </c>
      <c r="AO95" s="5">
        <v>2078.3279814373</v>
      </c>
      <c r="AP95" s="5">
        <v>5273.81</v>
      </c>
      <c r="AQ95" s="5">
        <v>5273.81</v>
      </c>
      <c r="AR95" s="5">
        <v>949.29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/>
      <c r="AY95" s="5"/>
      <c r="AZ95" s="5"/>
      <c r="BA95" s="5">
        <v>0</v>
      </c>
      <c r="BB95" s="5">
        <v>0</v>
      </c>
      <c r="BC95" s="5">
        <v>0</v>
      </c>
      <c r="BD95" s="5">
        <v>4324.5200000000004</v>
      </c>
      <c r="BE95" s="5">
        <v>28.11</v>
      </c>
      <c r="BF95" s="5">
        <v>0</v>
      </c>
      <c r="BG95" s="5">
        <v>4324.5200000000004</v>
      </c>
      <c r="BH95" s="5">
        <v>129.74</v>
      </c>
      <c r="BI95" s="5">
        <v>0</v>
      </c>
      <c r="BJ95" s="5">
        <v>0</v>
      </c>
      <c r="BK95" s="5">
        <v>0</v>
      </c>
      <c r="BL95" s="3" t="s">
        <v>49</v>
      </c>
      <c r="BM95" s="3"/>
      <c r="BN95" s="3" t="s">
        <v>166</v>
      </c>
      <c r="BO95" s="3" t="s">
        <v>51</v>
      </c>
      <c r="BP95" s="3" t="s">
        <v>636</v>
      </c>
      <c r="BQ95" s="6">
        <v>46286</v>
      </c>
    </row>
    <row r="96" spans="1:69" x14ac:dyDescent="0.25">
      <c r="A96" s="11" t="str">
        <f>LEFT([1]!MOVIMENTACOES[[#This Row],[Código]],9)</f>
        <v>007002026</v>
      </c>
      <c r="B96" s="11" t="s">
        <v>86</v>
      </c>
      <c r="C96" s="11" t="str">
        <f>TRIM(IFERROR(LEFT([1]!MOVIMENTACOES[[#This Row],[Descrição]],SEARCH([1]!MOVIMENTACOES[[#This Row],[EMBALAGEM]],[1]!MOVIMENTACOES[[#This Row],[Descrição]],1)-1),[1]!MOVIMENTACOES[[#This Row],[Descrição]]))</f>
        <v>NATUROIL TRADITION LINSEED</v>
      </c>
      <c r="D96" s="11" t="str">
        <f>_xlfn.CONCAT([1]!MOVIMENTACOES[[#This Row],[FABRICANTE]],[1]!MOVIMENTACOES[[#This Row],[DESCRIÇÃO SEM EMBALAGEM]],[1]!MOVIMENTACOES[[#This Row],[Coluna1]])</f>
        <v>MPRNATUROIL TRADITION LINSEED20</v>
      </c>
      <c r="E96" s="22">
        <v>11.06</v>
      </c>
      <c r="F96" s="13">
        <f>_xlfn.XLOOKUP([1]!MOVIMENTACOES[[#This Row],[Data]],[1]PTAX!A:A,[1]PTAX!C:C,"VERIFICAR",0,1)*[1]!MOVIMENTACOES[[#This Row],[PREÇO DE LISTA DOLAR]]</f>
        <v>59.490634</v>
      </c>
      <c r="G96" s="14">
        <f>[1]!MOVIMENTACOES[[#This Row],[PREÇO NET]]-[1]!MOVIMENTACOES[[#This Row],[PREÇO DE LISTA REAL]]</f>
        <v>11.072365999999988</v>
      </c>
      <c r="H96" s="15">
        <f>-[1]!MOVIMENTACOES[[#This Row],[DESCONTO CONCEDIDO]]/[1]!MOVIMENTACOES[[#This Row],[PREÇO DE LISTA REAL]]</f>
        <v>-0.18611948227009967</v>
      </c>
      <c r="I9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70.562999999999988</v>
      </c>
      <c r="J96" s="15">
        <f>VLOOKUP([1]!MOVIMENTACOES[[#This Row],[DESC %]],[1]!DESC[#Data],2,TRUE)</f>
        <v>0.01</v>
      </c>
      <c r="K96" s="15">
        <f>_xlfn.XLOOKUP([1]!MOVIMENTACOES[[#This Row],[NF-e]],'[1]PEDIDOS E COMISSOES'!A:A,'[1]PEDIDOS E COMISSOES'!E:E,"VERIFICAR",0,1)</f>
        <v>-5.0000000000000001E-4</v>
      </c>
      <c r="L96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96" s="16">
        <f>[1]!MOVIMENTACOES[[#This Row],[COMISSÃO FINAL]]*([1]!MOVIMENTACOES[[#This Row],[PREÇO NET]]*[1]!MOVIMENTACOES[[#This Row],[Qtde]])</f>
        <v>13.406969999999998</v>
      </c>
      <c r="N96" s="14" t="str">
        <f>_xlfn.XLOOKUP(LEFT([1]!MOVIMENTACOES[[#This Row],[Código]],3),'[1]BASE DE FABRICANTES'!A:A,'[1]BASE DE FABRICANTES'!B:B,"VERIFICAR",0,1)</f>
        <v>MPR</v>
      </c>
      <c r="O96" s="14">
        <f>[1]!MOVIMENTACOES[[#This Row],[PREÇO NET]]*[1]!MOVIMENTACOES[[#This Row],[Qtde]]</f>
        <v>1411.2599999999998</v>
      </c>
      <c r="P96" s="17" t="s">
        <v>637</v>
      </c>
      <c r="Q96" s="17" t="s">
        <v>638</v>
      </c>
      <c r="R96" s="17" t="s">
        <v>49</v>
      </c>
      <c r="S96" s="17" t="s">
        <v>139</v>
      </c>
      <c r="T96" s="18">
        <v>46036</v>
      </c>
      <c r="U96" s="18" t="s">
        <v>489</v>
      </c>
      <c r="V96" s="17" t="s">
        <v>91</v>
      </c>
      <c r="W96" s="17"/>
      <c r="X96" s="17"/>
      <c r="Y96" s="17" t="s">
        <v>639</v>
      </c>
      <c r="Z96" s="17" t="s">
        <v>640</v>
      </c>
      <c r="AA96" s="17" t="s">
        <v>641</v>
      </c>
      <c r="AB96" s="17"/>
      <c r="AC96" s="17" t="s">
        <v>642</v>
      </c>
      <c r="AD96" s="17" t="s">
        <v>145</v>
      </c>
      <c r="AE96" s="17" t="s">
        <v>44</v>
      </c>
      <c r="AF96" s="17" t="s">
        <v>45</v>
      </c>
      <c r="AG96" s="17" t="s">
        <v>46</v>
      </c>
      <c r="AH96" s="17" t="s">
        <v>202</v>
      </c>
      <c r="AI96" s="17" t="s">
        <v>110</v>
      </c>
      <c r="AJ96" s="19">
        <v>20</v>
      </c>
      <c r="AK96" s="19">
        <v>0</v>
      </c>
      <c r="AL96" s="19">
        <v>0</v>
      </c>
      <c r="AM96" s="20">
        <v>32.521000000000001</v>
      </c>
      <c r="AN96" s="20">
        <v>83.222499999999997</v>
      </c>
      <c r="AO96" s="20">
        <v>650.41999999999996</v>
      </c>
      <c r="AP96" s="20">
        <v>1664.45</v>
      </c>
      <c r="AQ96" s="20">
        <v>1664.45</v>
      </c>
      <c r="AR96" s="20">
        <v>199.73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/>
      <c r="AY96" s="20"/>
      <c r="AZ96" s="20"/>
      <c r="BA96" s="20">
        <v>0</v>
      </c>
      <c r="BB96" s="20">
        <v>0</v>
      </c>
      <c r="BC96" s="20">
        <v>0</v>
      </c>
      <c r="BD96" s="20">
        <v>1464.72</v>
      </c>
      <c r="BE96" s="20">
        <v>9.52</v>
      </c>
      <c r="BF96" s="20">
        <v>0</v>
      </c>
      <c r="BG96" s="20">
        <v>1464.72</v>
      </c>
      <c r="BH96" s="20">
        <v>43.94</v>
      </c>
      <c r="BI96" s="20">
        <v>0</v>
      </c>
      <c r="BJ96" s="20">
        <v>0</v>
      </c>
      <c r="BK96" s="20">
        <v>0</v>
      </c>
      <c r="BL96" s="17" t="s">
        <v>49</v>
      </c>
      <c r="BM96" s="17"/>
      <c r="BN96" s="17" t="s">
        <v>166</v>
      </c>
      <c r="BO96" s="17" t="s">
        <v>51</v>
      </c>
      <c r="BP96" s="17" t="s">
        <v>643</v>
      </c>
      <c r="BQ96" s="18">
        <v>46460</v>
      </c>
    </row>
    <row r="97" spans="1:69" x14ac:dyDescent="0.25">
      <c r="A97" s="11" t="str">
        <f>LEFT([1]!MOVIMENTACOES[[#This Row],[Código]],9)</f>
        <v>001004079</v>
      </c>
      <c r="B97" s="11" t="s">
        <v>149</v>
      </c>
      <c r="C97" s="11" t="str">
        <f>TRIM(IFERROR(LEFT([1]!MOVIMENTACOES[[#This Row],[Descrição]],SEARCH([1]!MOVIMENTACOES[[#This Row],[EMBALAGEM]],[1]!MOVIMENTACOES[[#This Row],[Descrição]],1)-1),[1]!MOVIMENTACOES[[#This Row],[Descrição]]))</f>
        <v>CYBRIGHT GP</v>
      </c>
      <c r="D97" s="11" t="str">
        <f>_xlfn.CONCAT([1]!MOVIMENTACOES[[#This Row],[FABRICANTE]],[1]!MOVIMENTACOES[[#This Row],[DESCRIÇÃO SEM EMBALAGEM]],[1]!MOVIMENTACOES[[#This Row],[Coluna1]])</f>
        <v>CODIFCYBRIGHT GP1</v>
      </c>
      <c r="E97" s="12">
        <f>_xlfn.XLOOKUP([1]!MOVIMENTACOES[[#This Row],[CONCAT]],'[2]PRICE LIST'!$G:$G,'[2]PRICE LIST'!$Q:$Q,"VERIFICAR",0,1)</f>
        <v>171.01692549999996</v>
      </c>
      <c r="F97" s="13">
        <f>_xlfn.XLOOKUP([1]!MOVIMENTACOES[[#This Row],[Data]],[1]PTAX!A:A,[1]PTAX!C:C,"VERIFICAR",0,1)*[1]!MOVIMENTACOES[[#This Row],[PREÇO DE LISTA DOLAR]]</f>
        <v>919.88294057194969</v>
      </c>
      <c r="G97" s="14">
        <f>[1]!MOVIMENTACOES[[#This Row],[PREÇO NET]]-[1]!MOVIMENTACOES[[#This Row],[PREÇO DE LISTA REAL]]</f>
        <v>-359.782677414055</v>
      </c>
      <c r="H97" s="15">
        <f>-[1]!MOVIMENTACOES[[#This Row],[DESCONTO CONCEDIDO]]/[1]!MOVIMENTACOES[[#This Row],[PREÇO DE LISTA REAL]]</f>
        <v>0.39111789288140864</v>
      </c>
      <c r="I9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560.10026315789469</v>
      </c>
      <c r="J97" s="15">
        <f>VLOOKUP([1]!MOVIMENTACOES[[#This Row],[DESC %]],[1]!DESC[#Data],2,TRUE)</f>
        <v>2.5000000000000001E-3</v>
      </c>
      <c r="K97" s="15">
        <f>_xlfn.XLOOKUP([1]!MOVIMENTACOES[[#This Row],[NF-e]],'[1]PEDIDOS E COMISSOES'!A:A,'[1]PEDIDOS E COMISSOES'!E:E,"VERIFICAR",0,1)</f>
        <v>5.0000000000000001E-4</v>
      </c>
      <c r="L97" s="15">
        <f>IF([1]!MOVIMENTACOES[[#This Row],[PERCENTUAL DE COMISSÕES]]+[1]!MOVIMENTACOES[[#This Row],[AJUSTE COMISSÃO]]&lt;0.06%,0.05%,[1]!MOVIMENTACOES[[#This Row],[PERCENTUAL DE COMISSÕES]]+[1]!MOVIMENTACOES[[#This Row],[AJUSTE COMISSÃO]])</f>
        <v>3.0000000000000001E-3</v>
      </c>
      <c r="M97" s="16">
        <f>[1]!MOVIMENTACOES[[#This Row],[COMISSÃO FINAL]]*([1]!MOVIMENTACOES[[#This Row],[PREÇO NET]]*[1]!MOVIMENTACOES[[#This Row],[Qtde]])</f>
        <v>127.70285999999999</v>
      </c>
      <c r="N97" s="14" t="str">
        <f>_xlfn.XLOOKUP(LEFT([1]!MOVIMENTACOES[[#This Row],[Código]],3),'[1]BASE DE FABRICANTES'!A:A,'[1]BASE DE FABRICANTES'!B:B,"VERIFICAR",0,1)</f>
        <v>CODIF</v>
      </c>
      <c r="O97" s="14">
        <f>[1]!MOVIMENTACOES[[#This Row],[PREÇO NET]]*[1]!MOVIMENTACOES[[#This Row],[Qtde]]</f>
        <v>42567.619999999995</v>
      </c>
      <c r="P97" s="3" t="s">
        <v>168</v>
      </c>
      <c r="Q97" s="3" t="s">
        <v>169</v>
      </c>
      <c r="R97" s="3" t="s">
        <v>49</v>
      </c>
      <c r="S97" s="3" t="s">
        <v>120</v>
      </c>
      <c r="T97" s="6">
        <v>46036</v>
      </c>
      <c r="U97" s="6" t="s">
        <v>644</v>
      </c>
      <c r="V97" s="3" t="s">
        <v>91</v>
      </c>
      <c r="W97" s="3"/>
      <c r="X97" s="3"/>
      <c r="Y97" s="3" t="s">
        <v>645</v>
      </c>
      <c r="Z97" s="3" t="s">
        <v>646</v>
      </c>
      <c r="AA97" s="3" t="s">
        <v>647</v>
      </c>
      <c r="AB97" s="3"/>
      <c r="AC97" s="3" t="s">
        <v>648</v>
      </c>
      <c r="AD97" s="3" t="s">
        <v>125</v>
      </c>
      <c r="AE97" s="3" t="s">
        <v>44</v>
      </c>
      <c r="AF97" s="3" t="s">
        <v>45</v>
      </c>
      <c r="AG97" s="3" t="s">
        <v>46</v>
      </c>
      <c r="AH97" s="3" t="s">
        <v>146</v>
      </c>
      <c r="AI97" s="3" t="s">
        <v>110</v>
      </c>
      <c r="AJ97" s="4">
        <v>76</v>
      </c>
      <c r="AK97" s="4">
        <v>13</v>
      </c>
      <c r="AL97" s="4">
        <v>0</v>
      </c>
      <c r="AM97" s="5">
        <v>309.56927233829998</v>
      </c>
      <c r="AN97" s="5">
        <v>605.54</v>
      </c>
      <c r="AO97" s="5">
        <v>23527.264697710802</v>
      </c>
      <c r="AP97" s="5">
        <v>46021.04</v>
      </c>
      <c r="AQ97" s="5">
        <v>46021.04</v>
      </c>
      <c r="AR97" s="5">
        <v>1840.84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/>
      <c r="AY97" s="5"/>
      <c r="AZ97" s="5"/>
      <c r="BA97" s="5">
        <v>0</v>
      </c>
      <c r="BB97" s="5">
        <v>0</v>
      </c>
      <c r="BC97" s="5">
        <v>0</v>
      </c>
      <c r="BD97" s="5">
        <v>44180.2</v>
      </c>
      <c r="BE97" s="5">
        <v>287.17</v>
      </c>
      <c r="BF97" s="5">
        <v>0</v>
      </c>
      <c r="BG97" s="5">
        <v>44180.2</v>
      </c>
      <c r="BH97" s="5">
        <v>1325.41</v>
      </c>
      <c r="BI97" s="5">
        <v>0</v>
      </c>
      <c r="BJ97" s="5">
        <v>0</v>
      </c>
      <c r="BK97" s="5">
        <v>0</v>
      </c>
      <c r="BL97" s="3" t="s">
        <v>49</v>
      </c>
      <c r="BM97" s="3"/>
      <c r="BN97" s="3" t="s">
        <v>228</v>
      </c>
      <c r="BO97" s="3" t="s">
        <v>51</v>
      </c>
      <c r="BP97" s="3" t="s">
        <v>175</v>
      </c>
      <c r="BQ97" s="6">
        <v>47055</v>
      </c>
    </row>
    <row r="98" spans="1:69" x14ac:dyDescent="0.25">
      <c r="A98" s="11" t="str">
        <f>LEFT([1]!MOVIMENTACOES[[#This Row],[Código]],9)</f>
        <v>007002001</v>
      </c>
      <c r="B98" s="11" t="s">
        <v>86</v>
      </c>
      <c r="C98" s="11" t="str">
        <f>TRIM(IFERROR(LEFT([1]!MOVIMENTACOES[[#This Row],[Descrição]],SEARCH([1]!MOVIMENTACOES[[#This Row],[EMBALAGEM]],[1]!MOVIMENTACOES[[#This Row],[Descrição]],1)-1),[1]!MOVIMENTACOES[[#This Row],[Descrição]]))</f>
        <v>NATUROIL TRADITION SWEET ALMOND</v>
      </c>
      <c r="D98" s="11" t="str">
        <f>_xlfn.CONCAT([1]!MOVIMENTACOES[[#This Row],[FABRICANTE]],[1]!MOVIMENTACOES[[#This Row],[DESCRIÇÃO SEM EMBALAGEM]],[1]!MOVIMENTACOES[[#This Row],[Coluna1]])</f>
        <v>MPRNATUROIL TRADITION SWEET ALMOND20</v>
      </c>
      <c r="E98" s="22">
        <v>10.89</v>
      </c>
      <c r="F98" s="13">
        <f>_xlfn.XLOOKUP([1]!MOVIMENTACOES[[#This Row],[Data]],[1]PTAX!A:A,[1]PTAX!C:C,"VERIFICAR",0,1)*[1]!MOVIMENTACOES[[#This Row],[PREÇO DE LISTA DOLAR]]</f>
        <v>58.576221000000004</v>
      </c>
      <c r="G98" s="14">
        <f>[1]!MOVIMENTACOES[[#This Row],[PREÇO NET]]-[1]!MOVIMENTACOES[[#This Row],[PREÇO DE LISTA REAL]]</f>
        <v>-18.780221000000004</v>
      </c>
      <c r="H98" s="15">
        <f>-[1]!MOVIMENTACOES[[#This Row],[DESCONTO CONCEDIDO]]/[1]!MOVIMENTACOES[[#This Row],[PREÇO DE LISTA REAL]]</f>
        <v>0.32061168643842702</v>
      </c>
      <c r="I9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39.795999999999999</v>
      </c>
      <c r="J98" s="15">
        <f>VLOOKUP([1]!MOVIMENTACOES[[#This Row],[DESC %]],[1]!DESC[#Data],2,TRUE)</f>
        <v>2.5000000000000001E-3</v>
      </c>
      <c r="K98" s="15">
        <f>_xlfn.XLOOKUP([1]!MOVIMENTACOES[[#This Row],[NF-e]],'[1]PEDIDOS E COMISSOES'!A:A,'[1]PEDIDOS E COMISSOES'!E:E,"VERIFICAR",0,1)</f>
        <v>5.0000000000000001E-4</v>
      </c>
      <c r="L98" s="15">
        <f>IF([1]!MOVIMENTACOES[[#This Row],[PERCENTUAL DE COMISSÕES]]+[1]!MOVIMENTACOES[[#This Row],[AJUSTE COMISSÃO]]&lt;0.06%,0.05%,[1]!MOVIMENTACOES[[#This Row],[PERCENTUAL DE COMISSÕES]]+[1]!MOVIMENTACOES[[#This Row],[AJUSTE COMISSÃO]])</f>
        <v>3.0000000000000001E-3</v>
      </c>
      <c r="M98" s="16">
        <f>[1]!MOVIMENTACOES[[#This Row],[COMISSÃO FINAL]]*([1]!MOVIMENTACOES[[#This Row],[PREÇO NET]]*[1]!MOVIMENTACOES[[#This Row],[Qtde]])</f>
        <v>2.3877600000000001</v>
      </c>
      <c r="N98" s="14" t="str">
        <f>_xlfn.XLOOKUP(LEFT([1]!MOVIMENTACOES[[#This Row],[Código]],3),'[1]BASE DE FABRICANTES'!A:A,'[1]BASE DE FABRICANTES'!B:B,"VERIFICAR",0,1)</f>
        <v>MPR</v>
      </c>
      <c r="O98" s="14">
        <f>[1]!MOVIMENTACOES[[#This Row],[PREÇO NET]]*[1]!MOVIMENTACOES[[#This Row],[Qtde]]</f>
        <v>795.92</v>
      </c>
      <c r="P98" s="17" t="s">
        <v>137</v>
      </c>
      <c r="Q98" s="17" t="s">
        <v>649</v>
      </c>
      <c r="R98" s="17" t="s">
        <v>49</v>
      </c>
      <c r="S98" s="17" t="s">
        <v>139</v>
      </c>
      <c r="T98" s="18">
        <v>46036</v>
      </c>
      <c r="U98" s="18" t="s">
        <v>631</v>
      </c>
      <c r="V98" s="17" t="s">
        <v>91</v>
      </c>
      <c r="W98" s="17"/>
      <c r="X98" s="17"/>
      <c r="Y98" s="17" t="s">
        <v>632</v>
      </c>
      <c r="Z98" s="17" t="s">
        <v>633</v>
      </c>
      <c r="AA98" s="17" t="s">
        <v>634</v>
      </c>
      <c r="AB98" s="17"/>
      <c r="AC98" s="17" t="s">
        <v>635</v>
      </c>
      <c r="AD98" s="17" t="s">
        <v>145</v>
      </c>
      <c r="AE98" s="17" t="s">
        <v>44</v>
      </c>
      <c r="AF98" s="17" t="s">
        <v>45</v>
      </c>
      <c r="AG98" s="17" t="s">
        <v>46</v>
      </c>
      <c r="AH98" s="17" t="s">
        <v>47</v>
      </c>
      <c r="AI98" s="17" t="s">
        <v>48</v>
      </c>
      <c r="AJ98" s="19">
        <v>20</v>
      </c>
      <c r="AK98" s="19">
        <v>20</v>
      </c>
      <c r="AL98" s="19">
        <v>0</v>
      </c>
      <c r="AM98" s="20">
        <v>21.123000000000001</v>
      </c>
      <c r="AN98" s="20">
        <v>50.37</v>
      </c>
      <c r="AO98" s="20">
        <v>422.46</v>
      </c>
      <c r="AP98" s="20">
        <v>1007.4</v>
      </c>
      <c r="AQ98" s="20">
        <v>1007.4</v>
      </c>
      <c r="AR98" s="20">
        <v>181.33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/>
      <c r="AY98" s="20"/>
      <c r="AZ98" s="20"/>
      <c r="BA98" s="20">
        <v>0</v>
      </c>
      <c r="BB98" s="20">
        <v>0</v>
      </c>
      <c r="BC98" s="20">
        <v>0</v>
      </c>
      <c r="BD98" s="20">
        <v>826.07</v>
      </c>
      <c r="BE98" s="20">
        <v>5.37</v>
      </c>
      <c r="BF98" s="20">
        <v>0</v>
      </c>
      <c r="BG98" s="20">
        <v>826.07</v>
      </c>
      <c r="BH98" s="20">
        <v>24.78</v>
      </c>
      <c r="BI98" s="20">
        <v>0</v>
      </c>
      <c r="BJ98" s="20">
        <v>0</v>
      </c>
      <c r="BK98" s="20">
        <v>0</v>
      </c>
      <c r="BL98" s="17" t="s">
        <v>49</v>
      </c>
      <c r="BM98" s="17"/>
      <c r="BN98" s="17" t="s">
        <v>166</v>
      </c>
      <c r="BO98" s="17" t="s">
        <v>51</v>
      </c>
      <c r="BP98" s="17" t="s">
        <v>148</v>
      </c>
      <c r="BQ98" s="18">
        <v>46546</v>
      </c>
    </row>
    <row r="99" spans="1:69" x14ac:dyDescent="0.25">
      <c r="A99" s="11" t="str">
        <f>LEFT([1]!MOVIMENTACOES[[#This Row],[Código]],9)</f>
        <v>030004095</v>
      </c>
      <c r="B99" s="11" t="s">
        <v>650</v>
      </c>
      <c r="C99" s="11" t="str">
        <f>TRIM(IFERROR(LEFT([1]!MOVIMENTACOES[[#This Row],[Descrição]],SEARCH([1]!MOVIMENTACOES[[#This Row],[EMBALAGEM]],[1]!MOVIMENTACOES[[#This Row],[Descrição]],1)-1),[1]!MOVIMENTACOES[[#This Row],[Descrição]]))</f>
        <v>SPONGE SPICULE</v>
      </c>
      <c r="D99" s="11" t="str">
        <f>_xlfn.CONCAT([1]!MOVIMENTACOES[[#This Row],[FABRICANTE]],[1]!MOVIMENTACOES[[#This Row],[DESCRIÇÃO SEM EMBALAGEM]],[1]!MOVIMENTACOES[[#This Row],[Coluna1]])</f>
        <v>SPEC CHEMSPONGE SPICULE0,5</v>
      </c>
      <c r="E99" s="12">
        <f>_xlfn.XLOOKUP([1]!MOVIMENTACOES[[#This Row],[CONCAT]],'[2]PRICE LIST'!$G:$G,'[2]PRICE LIST'!$Q:$Q,"VERIFICAR",0,1)</f>
        <v>3399.0365999999995</v>
      </c>
      <c r="F99" s="13">
        <f>_xlfn.XLOOKUP([1]!MOVIMENTACOES[[#This Row],[Data]],[1]PTAX!A:A,[1]PTAX!C:C,"VERIFICAR",0,1)*[1]!MOVIMENTACOES[[#This Row],[PREÇO DE LISTA DOLAR]]</f>
        <v>18283.077967739995</v>
      </c>
      <c r="G99" s="14">
        <f>[1]!MOVIMENTACOES[[#This Row],[PREÇO NET]]-[1]!MOVIMENTACOES[[#This Row],[PREÇO DE LISTA REAL]]</f>
        <v>398.18203226000333</v>
      </c>
      <c r="H99" s="15">
        <f>-[1]!MOVIMENTACOES[[#This Row],[DESCONTO CONCEDIDO]]/[1]!MOVIMENTACOES[[#This Row],[PREÇO DE LISTA REAL]]</f>
        <v>-2.1778719806510968E-2</v>
      </c>
      <c r="I9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18681.259999999998</v>
      </c>
      <c r="J99" s="15">
        <f>VLOOKUP([1]!MOVIMENTACOES[[#This Row],[DESC %]],[1]!DESC[#Data],2,TRUE)</f>
        <v>0.01</v>
      </c>
      <c r="K99" s="15">
        <f>_xlfn.XLOOKUP([1]!MOVIMENTACOES[[#This Row],[NF-e]],'[1]PEDIDOS E COMISSOES'!A:A,'[1]PEDIDOS E COMISSOES'!E:E,"VERIFICAR",0,1)</f>
        <v>-5.0000000000000001E-4</v>
      </c>
      <c r="L99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99" s="16">
        <f>[1]!MOVIMENTACOES[[#This Row],[COMISSÃO FINAL]]*([1]!MOVIMENTACOES[[#This Row],[PREÇO NET]]*[1]!MOVIMENTACOES[[#This Row],[Qtde]])</f>
        <v>88.735984999999985</v>
      </c>
      <c r="N99" s="14" t="str">
        <f>_xlfn.XLOOKUP(LEFT([1]!MOVIMENTACOES[[#This Row],[Código]],3),'[1]BASE DE FABRICANTES'!A:A,'[1]BASE DE FABRICANTES'!B:B,"VERIFICAR",0,1)</f>
        <v>SPEC CHEM</v>
      </c>
      <c r="O99" s="14">
        <f>[1]!MOVIMENTACOES[[#This Row],[PREÇO NET]]*[1]!MOVIMENTACOES[[#This Row],[Qtde]]</f>
        <v>9340.6299999999992</v>
      </c>
      <c r="P99" s="3" t="s">
        <v>651</v>
      </c>
      <c r="Q99" s="3" t="s">
        <v>652</v>
      </c>
      <c r="R99" s="3" t="s">
        <v>49</v>
      </c>
      <c r="S99" s="3" t="s">
        <v>89</v>
      </c>
      <c r="T99" s="6">
        <v>46036</v>
      </c>
      <c r="U99" s="6" t="s">
        <v>653</v>
      </c>
      <c r="V99" s="3" t="s">
        <v>91</v>
      </c>
      <c r="W99" s="3"/>
      <c r="X99" s="3"/>
      <c r="Y99" s="3" t="s">
        <v>654</v>
      </c>
      <c r="Z99" s="3" t="s">
        <v>655</v>
      </c>
      <c r="AA99" s="3" t="s">
        <v>656</v>
      </c>
      <c r="AB99" s="3"/>
      <c r="AC99" s="3" t="s">
        <v>657</v>
      </c>
      <c r="AD99" s="3" t="s">
        <v>165</v>
      </c>
      <c r="AE99" s="3" t="s">
        <v>44</v>
      </c>
      <c r="AF99" s="3" t="s">
        <v>45</v>
      </c>
      <c r="AG99" s="3" t="s">
        <v>46</v>
      </c>
      <c r="AH99" s="3" t="s">
        <v>213</v>
      </c>
      <c r="AI99" s="3" t="s">
        <v>110</v>
      </c>
      <c r="AJ99" s="4">
        <v>0.5</v>
      </c>
      <c r="AK99" s="4">
        <v>0.5</v>
      </c>
      <c r="AL99" s="4">
        <v>0</v>
      </c>
      <c r="AM99" s="5">
        <v>6311.1033140331001</v>
      </c>
      <c r="AN99" s="5">
        <v>20196.82</v>
      </c>
      <c r="AO99" s="5">
        <v>3155.5516570165501</v>
      </c>
      <c r="AP99" s="5">
        <v>10098.41</v>
      </c>
      <c r="AQ99" s="5">
        <v>10098.41</v>
      </c>
      <c r="AR99" s="5">
        <v>403.94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/>
      <c r="AY99" s="5"/>
      <c r="AZ99" s="5"/>
      <c r="BA99" s="5">
        <v>0</v>
      </c>
      <c r="BB99" s="5">
        <v>0</v>
      </c>
      <c r="BC99" s="5">
        <v>0</v>
      </c>
      <c r="BD99" s="5">
        <v>9694.4699999999993</v>
      </c>
      <c r="BE99" s="5">
        <v>63.01</v>
      </c>
      <c r="BF99" s="5">
        <v>0</v>
      </c>
      <c r="BG99" s="5">
        <v>9694.4699999999993</v>
      </c>
      <c r="BH99" s="5">
        <v>290.83</v>
      </c>
      <c r="BI99" s="5">
        <v>0</v>
      </c>
      <c r="BJ99" s="5">
        <v>0</v>
      </c>
      <c r="BK99" s="5">
        <v>0</v>
      </c>
      <c r="BL99" s="3" t="s">
        <v>49</v>
      </c>
      <c r="BM99" s="3"/>
      <c r="BN99" s="3" t="s">
        <v>97</v>
      </c>
      <c r="BO99" s="3" t="s">
        <v>51</v>
      </c>
      <c r="BP99" s="3" t="s">
        <v>658</v>
      </c>
      <c r="BQ99" s="6">
        <v>46607</v>
      </c>
    </row>
    <row r="100" spans="1:69" x14ac:dyDescent="0.25">
      <c r="A100" s="11" t="str">
        <f>LEFT([1]!MOVIMENTACOES[[#This Row],[Código]],9)</f>
        <v>001004069</v>
      </c>
      <c r="B100" s="11" t="s">
        <v>149</v>
      </c>
      <c r="C100" s="11" t="str">
        <f>TRIM(IFERROR(LEFT([1]!MOVIMENTACOES[[#This Row],[Descrição]],SEARCH([1]!MOVIMENTACOES[[#This Row],[EMBALAGEM]],[1]!MOVIMENTACOES[[#This Row],[Descrição]],1)-1),[1]!MOVIMENTACOES[[#This Row],[Descrição]]))</f>
        <v>PHORMISKIN BIOPROTECH G</v>
      </c>
      <c r="D100" s="11" t="str">
        <f>_xlfn.CONCAT([1]!MOVIMENTACOES[[#This Row],[FABRICANTE]],[1]!MOVIMENTACOES[[#This Row],[DESCRIÇÃO SEM EMBALAGEM]],[1]!MOVIMENTACOES[[#This Row],[Coluna1]])</f>
        <v>CODIFPHORMISKIN BIOPROTECH G1</v>
      </c>
      <c r="E100" s="12">
        <f>_xlfn.XLOOKUP([1]!MOVIMENTACOES[[#This Row],[CONCAT]],'[2]PRICE LIST'!$G:$G,'[2]PRICE LIST'!$Q:$Q,"VERIFICAR",0,1)</f>
        <v>193.28235103999998</v>
      </c>
      <c r="F100" s="13">
        <f>_xlfn.XLOOKUP([1]!MOVIMENTACOES[[#This Row],[Data]],[1]PTAX!A:A,[1]PTAX!C:C,"VERIFICAR",0,1)*[1]!MOVIMENTACOES[[#This Row],[PREÇO DE LISTA DOLAR]]</f>
        <v>1039.6464380090558</v>
      </c>
      <c r="G100" s="14">
        <f>[1]!MOVIMENTACOES[[#This Row],[PREÇO NET]]-[1]!MOVIMENTACOES[[#This Row],[PREÇO DE LISTA REAL]]</f>
        <v>565.47356199094406</v>
      </c>
      <c r="H100" s="15">
        <f>-[1]!MOVIMENTACOES[[#This Row],[DESCONTO CONCEDIDO]]/[1]!MOVIMENTACOES[[#This Row],[PREÇO DE LISTA REAL]]</f>
        <v>-0.54390948818507712</v>
      </c>
      <c r="I10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1605.12</v>
      </c>
      <c r="J100" s="15">
        <f>VLOOKUP([1]!MOVIMENTACOES[[#This Row],[DESC %]],[1]!DESC[#Data],2,TRUE)</f>
        <v>0.01</v>
      </c>
      <c r="K100" s="15">
        <f>_xlfn.XLOOKUP([1]!MOVIMENTACOES[[#This Row],[NF-e]],'[1]PEDIDOS E COMISSOES'!A:A,'[1]PEDIDOS E COMISSOES'!E:E,"VERIFICAR",0,1)</f>
        <v>-5.0000000000000001E-4</v>
      </c>
      <c r="L100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100" s="16">
        <f>[1]!MOVIMENTACOES[[#This Row],[COMISSÃO FINAL]]*([1]!MOVIMENTACOES[[#This Row],[PREÇO NET]]*[1]!MOVIMENTACOES[[#This Row],[Qtde]])</f>
        <v>15.248639999999998</v>
      </c>
      <c r="N100" s="14" t="str">
        <f>_xlfn.XLOOKUP(LEFT([1]!MOVIMENTACOES[[#This Row],[Código]],3),'[1]BASE DE FABRICANTES'!A:A,'[1]BASE DE FABRICANTES'!B:B,"VERIFICAR",0,1)</f>
        <v>CODIF</v>
      </c>
      <c r="O100" s="14">
        <f>[1]!MOVIMENTACOES[[#This Row],[PREÇO NET]]*[1]!MOVIMENTACOES[[#This Row],[Qtde]]</f>
        <v>1605.12</v>
      </c>
      <c r="P100" s="17" t="s">
        <v>659</v>
      </c>
      <c r="Q100" s="17" t="s">
        <v>660</v>
      </c>
      <c r="R100" s="17" t="s">
        <v>49</v>
      </c>
      <c r="S100" s="17" t="s">
        <v>120</v>
      </c>
      <c r="T100" s="18">
        <v>46036</v>
      </c>
      <c r="U100" s="18" t="s">
        <v>653</v>
      </c>
      <c r="V100" s="17" t="s">
        <v>91</v>
      </c>
      <c r="W100" s="17"/>
      <c r="X100" s="17"/>
      <c r="Y100" s="17" t="s">
        <v>654</v>
      </c>
      <c r="Z100" s="17" t="s">
        <v>655</v>
      </c>
      <c r="AA100" s="17" t="s">
        <v>656</v>
      </c>
      <c r="AB100" s="17"/>
      <c r="AC100" s="17" t="s">
        <v>657</v>
      </c>
      <c r="AD100" s="17" t="s">
        <v>125</v>
      </c>
      <c r="AE100" s="17" t="s">
        <v>44</v>
      </c>
      <c r="AF100" s="17" t="s">
        <v>45</v>
      </c>
      <c r="AG100" s="17" t="s">
        <v>46</v>
      </c>
      <c r="AH100" s="17" t="s">
        <v>213</v>
      </c>
      <c r="AI100" s="17" t="s">
        <v>110</v>
      </c>
      <c r="AJ100" s="19">
        <v>1</v>
      </c>
      <c r="AK100" s="19">
        <v>7</v>
      </c>
      <c r="AL100" s="19">
        <v>0</v>
      </c>
      <c r="AM100" s="20">
        <v>397.58086123210001</v>
      </c>
      <c r="AN100" s="20">
        <v>1735.34</v>
      </c>
      <c r="AO100" s="20">
        <v>397.58086123210001</v>
      </c>
      <c r="AP100" s="20">
        <v>1735.34</v>
      </c>
      <c r="AQ100" s="20">
        <v>1735.34</v>
      </c>
      <c r="AR100" s="20">
        <v>69.41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/>
      <c r="AY100" s="20"/>
      <c r="AZ100" s="20"/>
      <c r="BA100" s="20">
        <v>0</v>
      </c>
      <c r="BB100" s="20">
        <v>0</v>
      </c>
      <c r="BC100" s="20">
        <v>0</v>
      </c>
      <c r="BD100" s="20">
        <v>1665.93</v>
      </c>
      <c r="BE100" s="20">
        <v>10.83</v>
      </c>
      <c r="BF100" s="20">
        <v>0</v>
      </c>
      <c r="BG100" s="20">
        <v>1665.93</v>
      </c>
      <c r="BH100" s="20">
        <v>49.98</v>
      </c>
      <c r="BI100" s="20">
        <v>0</v>
      </c>
      <c r="BJ100" s="20">
        <v>0</v>
      </c>
      <c r="BK100" s="20">
        <v>0</v>
      </c>
      <c r="BL100" s="17" t="s">
        <v>49</v>
      </c>
      <c r="BM100" s="17"/>
      <c r="BN100" s="17" t="s">
        <v>97</v>
      </c>
      <c r="BO100" s="17" t="s">
        <v>51</v>
      </c>
      <c r="BP100" s="17" t="s">
        <v>661</v>
      </c>
      <c r="BQ100" s="18">
        <v>46719</v>
      </c>
    </row>
    <row r="101" spans="1:69" x14ac:dyDescent="0.25">
      <c r="A101" s="11" t="str">
        <f>LEFT([1]!MOVIMENTACOES[[#This Row],[Código]],9)</f>
        <v>030004106</v>
      </c>
      <c r="B101" s="11" t="s">
        <v>149</v>
      </c>
      <c r="C101" s="11" t="str">
        <f>TRIM(IFERROR(LEFT([1]!MOVIMENTACOES[[#This Row],[Descrição]],SEARCH([1]!MOVIMENTACOES[[#This Row],[EMBALAGEM]],[1]!MOVIMENTACOES[[#This Row],[Descrição]],1)-1),[1]!MOVIMENTACOES[[#This Row],[Descrição]]))</f>
        <v>SHIKIMIC ACID</v>
      </c>
      <c r="D101" s="11" t="str">
        <f>_xlfn.CONCAT([1]!MOVIMENTACOES[[#This Row],[FABRICANTE]],[1]!MOVIMENTACOES[[#This Row],[DESCRIÇÃO SEM EMBALAGEM]],[1]!MOVIMENTACOES[[#This Row],[Coluna1]])</f>
        <v>SPEC CHEMSHIKIMIC ACID1</v>
      </c>
      <c r="E101" s="21">
        <f>_xlfn.XLOOKUP([1]!MOVIMENTACOES[[#This Row],[CONCAT]],'[2]PRICE LIST'!$G:$G,'[2]PRICE LIST'!$Q:$Q,"VERIFICAR",0,1)</f>
        <v>228.02</v>
      </c>
      <c r="F101" s="13">
        <f>_xlfn.XLOOKUP([1]!MOVIMENTACOES[[#This Row],[Data]],[1]PTAX!A:A,[1]PTAX!C:C,"VERIFICAR",0,1)*[1]!MOVIMENTACOES[[#This Row],[PREÇO DE LISTA DOLAR]]</f>
        <v>1226.4967779999999</v>
      </c>
      <c r="G101" s="14">
        <f>[1]!MOVIMENTACOES[[#This Row],[PREÇO NET]]-[1]!MOVIMENTACOES[[#This Row],[PREÇO DE LISTA REAL]]</f>
        <v>-117.90677800000003</v>
      </c>
      <c r="H101" s="15">
        <f>-[1]!MOVIMENTACOES[[#This Row],[DESCONTO CONCEDIDO]]/[1]!MOVIMENTACOES[[#This Row],[PREÇO DE LISTA REAL]]</f>
        <v>9.6132970028886641E-2</v>
      </c>
      <c r="I10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1108.5899999999999</v>
      </c>
      <c r="J101" s="15">
        <f>VLOOKUP([1]!MOVIMENTACOES[[#This Row],[DESC %]],[1]!DESC[#Data],2,TRUE)</f>
        <v>7.0000000000000001E-3</v>
      </c>
      <c r="K101" s="15">
        <f>_xlfn.XLOOKUP([1]!MOVIMENTACOES[[#This Row],[NF-e]],'[1]PEDIDOS E COMISSOES'!A:A,'[1]PEDIDOS E COMISSOES'!E:E,"VERIFICAR",0,1)</f>
        <v>-5.0000000000000001E-4</v>
      </c>
      <c r="L101" s="15">
        <f>IF([1]!MOVIMENTACOES[[#This Row],[PERCENTUAL DE COMISSÕES]]+[1]!MOVIMENTACOES[[#This Row],[AJUSTE COMISSÃO]]&lt;0.06%,0.05%,[1]!MOVIMENTACOES[[#This Row],[PERCENTUAL DE COMISSÕES]]+[1]!MOVIMENTACOES[[#This Row],[AJUSTE COMISSÃO]])</f>
        <v>6.5000000000000006E-3</v>
      </c>
      <c r="M101" s="16">
        <f>[1]!MOVIMENTACOES[[#This Row],[COMISSÃO FINAL]]*([1]!MOVIMENTACOES[[#This Row],[PREÇO NET]]*[1]!MOVIMENTACOES[[#This Row],[Qtde]])</f>
        <v>7.2058350000000004</v>
      </c>
      <c r="N101" s="14" t="str">
        <f>_xlfn.XLOOKUP(LEFT([1]!MOVIMENTACOES[[#This Row],[Código]],3),'[1]BASE DE FABRICANTES'!A:A,'[1]BASE DE FABRICANTES'!B:B,"VERIFICAR",0,1)</f>
        <v>SPEC CHEM</v>
      </c>
      <c r="O101" s="14">
        <f>[1]!MOVIMENTACOES[[#This Row],[PREÇO NET]]*[1]!MOVIMENTACOES[[#This Row],[Qtde]]</f>
        <v>1108.5899999999999</v>
      </c>
      <c r="P101" s="3" t="s">
        <v>662</v>
      </c>
      <c r="Q101" s="3" t="s">
        <v>663</v>
      </c>
      <c r="R101" s="3" t="s">
        <v>49</v>
      </c>
      <c r="S101" s="3" t="s">
        <v>543</v>
      </c>
      <c r="T101" s="6">
        <v>46036</v>
      </c>
      <c r="U101" s="6" t="s">
        <v>653</v>
      </c>
      <c r="V101" s="3" t="s">
        <v>91</v>
      </c>
      <c r="W101" s="3"/>
      <c r="X101" s="3"/>
      <c r="Y101" s="3" t="s">
        <v>654</v>
      </c>
      <c r="Z101" s="3" t="s">
        <v>655</v>
      </c>
      <c r="AA101" s="3" t="s">
        <v>656</v>
      </c>
      <c r="AB101" s="3"/>
      <c r="AC101" s="3" t="s">
        <v>657</v>
      </c>
      <c r="AD101" s="3" t="s">
        <v>165</v>
      </c>
      <c r="AE101" s="3" t="s">
        <v>44</v>
      </c>
      <c r="AF101" s="3" t="s">
        <v>45</v>
      </c>
      <c r="AG101" s="3" t="s">
        <v>46</v>
      </c>
      <c r="AH101" s="3" t="s">
        <v>213</v>
      </c>
      <c r="AI101" s="3" t="s">
        <v>110</v>
      </c>
      <c r="AJ101" s="4">
        <v>1</v>
      </c>
      <c r="AK101" s="4">
        <v>0</v>
      </c>
      <c r="AL101" s="4">
        <v>0</v>
      </c>
      <c r="AM101" s="5">
        <v>388.7832102667</v>
      </c>
      <c r="AN101" s="5">
        <v>1307.49</v>
      </c>
      <c r="AO101" s="5">
        <v>388.7832102667</v>
      </c>
      <c r="AP101" s="5">
        <v>1307.49</v>
      </c>
      <c r="AQ101" s="5">
        <v>1307.49</v>
      </c>
      <c r="AR101" s="5">
        <v>156.9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/>
      <c r="AY101" s="5"/>
      <c r="AZ101" s="5"/>
      <c r="BA101" s="5">
        <v>0</v>
      </c>
      <c r="BB101" s="5">
        <v>0</v>
      </c>
      <c r="BC101" s="5">
        <v>0</v>
      </c>
      <c r="BD101" s="5">
        <v>1150.5899999999999</v>
      </c>
      <c r="BE101" s="5">
        <v>7.48</v>
      </c>
      <c r="BF101" s="5">
        <v>0</v>
      </c>
      <c r="BG101" s="5">
        <v>1150.5899999999999</v>
      </c>
      <c r="BH101" s="5">
        <v>34.520000000000003</v>
      </c>
      <c r="BI101" s="5">
        <v>0</v>
      </c>
      <c r="BJ101" s="5">
        <v>0</v>
      </c>
      <c r="BK101" s="5">
        <v>0</v>
      </c>
      <c r="BL101" s="3" t="s">
        <v>49</v>
      </c>
      <c r="BM101" s="3"/>
      <c r="BN101" s="3" t="s">
        <v>97</v>
      </c>
      <c r="BO101" s="3" t="s">
        <v>51</v>
      </c>
      <c r="BP101" s="3" t="s">
        <v>664</v>
      </c>
      <c r="BQ101" s="6">
        <v>46593</v>
      </c>
    </row>
    <row r="102" spans="1:69" x14ac:dyDescent="0.25">
      <c r="A102" s="11" t="str">
        <f>LEFT([1]!MOVIMENTACOES[[#This Row],[Código]],9)</f>
        <v>031004013</v>
      </c>
      <c r="B102" s="11" t="s">
        <v>204</v>
      </c>
      <c r="C102" s="11" t="str">
        <f>TRIM(IFERROR(LEFT([1]!MOVIMENTACOES[[#This Row],[Descrição]],SEARCH([1]!MOVIMENTACOES[[#This Row],[EMBALAGEM]],[1]!MOVIMENTACOES[[#This Row],[Descrição]],1)-1),[1]!MOVIMENTACOES[[#This Row],[Descrição]]))</f>
        <v>PIROCTONE OLAMINE</v>
      </c>
      <c r="D102" s="11" t="str">
        <f>_xlfn.CONCAT([1]!MOVIMENTACOES[[#This Row],[FABRICANTE]],[1]!MOVIMENTACOES[[#This Row],[DESCRIÇÃO SEM EMBALAGEM]],[1]!MOVIMENTACOES[[#This Row],[Coluna1]])</f>
        <v>KUMARPIROCTONE OLAMINE25</v>
      </c>
      <c r="E102" s="12">
        <f>_xlfn.XLOOKUP([1]!MOVIMENTACOES[[#This Row],[CONCAT]],'[2]PRICE LIST'!$G:$G,'[2]PRICE LIST'!$Q:$Q,"VERIFICAR",0,1)</f>
        <v>142</v>
      </c>
      <c r="F102" s="13">
        <f>_xlfn.XLOOKUP([1]!MOVIMENTACOES[[#This Row],[Data]],[1]PTAX!A:A,[1]PTAX!C:C,"VERIFICAR",0,1)*[1]!MOVIMENTACOES[[#This Row],[PREÇO DE LISTA DOLAR]]</f>
        <v>763.80380000000002</v>
      </c>
      <c r="G102" s="14">
        <f>[1]!MOVIMENTACOES[[#This Row],[PREÇO NET]]-[1]!MOVIMENTACOES[[#This Row],[PREÇO DE LISTA REAL]]</f>
        <v>21.982599999999934</v>
      </c>
      <c r="H102" s="15">
        <f>-[1]!MOVIMENTACOES[[#This Row],[DESCONTO CONCEDIDO]]/[1]!MOVIMENTACOES[[#This Row],[PREÇO DE LISTA REAL]]</f>
        <v>-2.8780427643852954E-2</v>
      </c>
      <c r="I10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785.78639999999996</v>
      </c>
      <c r="J102" s="15">
        <f>VLOOKUP([1]!MOVIMENTACOES[[#This Row],[DESC %]],[1]!DESC[#Data],2,TRUE)</f>
        <v>0.01</v>
      </c>
      <c r="K102" s="15">
        <f>_xlfn.XLOOKUP([1]!MOVIMENTACOES[[#This Row],[NF-e]],'[1]PEDIDOS E COMISSOES'!A:A,'[1]PEDIDOS E COMISSOES'!E:E,"VERIFICAR",0,1)</f>
        <v>0</v>
      </c>
      <c r="L102" s="15">
        <f>IF([1]!MOVIMENTACOES[[#This Row],[PERCENTUAL DE COMISSÕES]]+[1]!MOVIMENTACOES[[#This Row],[AJUSTE COMISSÃO]]&lt;0.06%,0.05%,[1]!MOVIMENTACOES[[#This Row],[PERCENTUAL DE COMISSÕES]]+[1]!MOVIMENTACOES[[#This Row],[AJUSTE COMISSÃO]])</f>
        <v>0.01</v>
      </c>
      <c r="M102" s="16">
        <f>[1]!MOVIMENTACOES[[#This Row],[COMISSÃO FINAL]]*([1]!MOVIMENTACOES[[#This Row],[PREÇO NET]]*[1]!MOVIMENTACOES[[#This Row],[Qtde]])</f>
        <v>392.89319999999998</v>
      </c>
      <c r="N102" s="14" t="str">
        <f>_xlfn.XLOOKUP(LEFT([1]!MOVIMENTACOES[[#This Row],[Código]],3),'[1]BASE DE FABRICANTES'!A:A,'[1]BASE DE FABRICANTES'!B:B,"VERIFICAR",0,1)</f>
        <v>KUMAR</v>
      </c>
      <c r="O102" s="14">
        <f>[1]!MOVIMENTACOES[[#This Row],[PREÇO NET]]*[1]!MOVIMENTACOES[[#This Row],[Qtde]]</f>
        <v>39289.32</v>
      </c>
      <c r="P102" s="17" t="s">
        <v>665</v>
      </c>
      <c r="Q102" s="17" t="s">
        <v>666</v>
      </c>
      <c r="R102" s="17" t="s">
        <v>49</v>
      </c>
      <c r="S102" s="17" t="s">
        <v>667</v>
      </c>
      <c r="T102" s="18">
        <v>46036</v>
      </c>
      <c r="U102" s="18" t="s">
        <v>668</v>
      </c>
      <c r="V102" s="17" t="s">
        <v>91</v>
      </c>
      <c r="W102" s="17"/>
      <c r="X102" s="17"/>
      <c r="Y102" s="17" t="s">
        <v>669</v>
      </c>
      <c r="Z102" s="17" t="s">
        <v>670</v>
      </c>
      <c r="AA102" s="17" t="s">
        <v>671</v>
      </c>
      <c r="AB102" s="17"/>
      <c r="AC102" s="17" t="s">
        <v>192</v>
      </c>
      <c r="AD102" s="17" t="s">
        <v>249</v>
      </c>
      <c r="AE102" s="17" t="s">
        <v>44</v>
      </c>
      <c r="AF102" s="17" t="s">
        <v>45</v>
      </c>
      <c r="AG102" s="17" t="s">
        <v>46</v>
      </c>
      <c r="AH102" s="17" t="s">
        <v>146</v>
      </c>
      <c r="AI102" s="17" t="s">
        <v>110</v>
      </c>
      <c r="AJ102" s="19">
        <v>50</v>
      </c>
      <c r="AK102" s="19">
        <v>700</v>
      </c>
      <c r="AL102" s="19">
        <v>0</v>
      </c>
      <c r="AM102" s="20">
        <v>431.76699959839999</v>
      </c>
      <c r="AN102" s="20">
        <v>876.94</v>
      </c>
      <c r="AO102" s="20">
        <v>21588.34997992</v>
      </c>
      <c r="AP102" s="20">
        <v>43847</v>
      </c>
      <c r="AQ102" s="20">
        <v>43847</v>
      </c>
      <c r="AR102" s="20">
        <v>3069.29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/>
      <c r="AY102" s="20"/>
      <c r="AZ102" s="20"/>
      <c r="BA102" s="20">
        <v>0</v>
      </c>
      <c r="BB102" s="20">
        <v>0</v>
      </c>
      <c r="BC102" s="20">
        <v>0</v>
      </c>
      <c r="BD102" s="20">
        <v>40777.71</v>
      </c>
      <c r="BE102" s="20">
        <v>265.06</v>
      </c>
      <c r="BF102" s="20">
        <v>0</v>
      </c>
      <c r="BG102" s="20">
        <v>40777.71</v>
      </c>
      <c r="BH102" s="20">
        <v>1223.33</v>
      </c>
      <c r="BI102" s="20">
        <v>0</v>
      </c>
      <c r="BJ102" s="20">
        <v>0</v>
      </c>
      <c r="BK102" s="20">
        <v>0</v>
      </c>
      <c r="BL102" s="17" t="s">
        <v>49</v>
      </c>
      <c r="BM102" s="17"/>
      <c r="BN102" s="17" t="s">
        <v>55</v>
      </c>
      <c r="BO102" s="17" t="s">
        <v>51</v>
      </c>
      <c r="BP102" s="17" t="s">
        <v>672</v>
      </c>
      <c r="BQ102" s="18">
        <v>46843</v>
      </c>
    </row>
    <row r="103" spans="1:69" x14ac:dyDescent="0.25">
      <c r="A103" s="11" t="str">
        <f>LEFT([1]!MOVIMENTACOES[[#This Row],[Código]],9)</f>
        <v>001004079</v>
      </c>
      <c r="B103" s="11" t="s">
        <v>149</v>
      </c>
      <c r="C103" s="11" t="str">
        <f>TRIM(IFERROR(LEFT([1]!MOVIMENTACOES[[#This Row],[Descrição]],SEARCH([1]!MOVIMENTACOES[[#This Row],[EMBALAGEM]],[1]!MOVIMENTACOES[[#This Row],[Descrição]],1)-1),[1]!MOVIMENTACOES[[#This Row],[Descrição]]))</f>
        <v>CYBRIGHT GP</v>
      </c>
      <c r="D103" s="11" t="str">
        <f>_xlfn.CONCAT([1]!MOVIMENTACOES[[#This Row],[FABRICANTE]],[1]!MOVIMENTACOES[[#This Row],[DESCRIÇÃO SEM EMBALAGEM]],[1]!MOVIMENTACOES[[#This Row],[Coluna1]])</f>
        <v>CODIFCYBRIGHT GP1</v>
      </c>
      <c r="E103" s="12">
        <f>_xlfn.XLOOKUP([1]!MOVIMENTACOES[[#This Row],[CONCAT]],'[2]PRICE LIST'!$G:$G,'[2]PRICE LIST'!$Q:$Q,"VERIFICAR",0,1)</f>
        <v>171.01692549999996</v>
      </c>
      <c r="F103" s="13">
        <f>_xlfn.XLOOKUP([1]!MOVIMENTACOES[[#This Row],[Data]],[1]PTAX!A:A,[1]PTAX!C:C,"VERIFICAR",0,1)*[1]!MOVIMENTACOES[[#This Row],[PREÇO DE LISTA DOLAR]]</f>
        <v>919.88294057194969</v>
      </c>
      <c r="G103" s="14">
        <f>[1]!MOVIMENTACOES[[#This Row],[PREÇO NET]]-[1]!MOVIMENTACOES[[#This Row],[PREÇO DE LISTA REAL]]</f>
        <v>-359.78217134118051</v>
      </c>
      <c r="H103" s="15">
        <f>-[1]!MOVIMENTACOES[[#This Row],[DESCONTO CONCEDIDO]]/[1]!MOVIMENTACOES[[#This Row],[PREÇO DE LISTA REAL]]</f>
        <v>0.39111734273219706</v>
      </c>
      <c r="I10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560.10076923076917</v>
      </c>
      <c r="J103" s="15">
        <f>VLOOKUP([1]!MOVIMENTACOES[[#This Row],[DESC %]],[1]!DESC[#Data],2,TRUE)</f>
        <v>2.5000000000000001E-3</v>
      </c>
      <c r="K103" s="15">
        <f>_xlfn.XLOOKUP([1]!MOVIMENTACOES[[#This Row],[NF-e]],'[1]PEDIDOS E COMISSOES'!A:A,'[1]PEDIDOS E COMISSOES'!E:E,"VERIFICAR",0,1)</f>
        <v>5.0000000000000001E-4</v>
      </c>
      <c r="L103" s="15">
        <f>IF([1]!MOVIMENTACOES[[#This Row],[PERCENTUAL DE COMISSÕES]]+[1]!MOVIMENTACOES[[#This Row],[AJUSTE COMISSÃO]]&lt;0.06%,0.05%,[1]!MOVIMENTACOES[[#This Row],[PERCENTUAL DE COMISSÕES]]+[1]!MOVIMENTACOES[[#This Row],[AJUSTE COMISSÃO]])</f>
        <v>3.0000000000000001E-3</v>
      </c>
      <c r="M103" s="16">
        <f>[1]!MOVIMENTACOES[[#This Row],[COMISSÃO FINAL]]*([1]!MOVIMENTACOES[[#This Row],[PREÇO NET]]*[1]!MOVIMENTACOES[[#This Row],[Qtde]])</f>
        <v>21.84393</v>
      </c>
      <c r="N103" s="14" t="str">
        <f>_xlfn.XLOOKUP(LEFT([1]!MOVIMENTACOES[[#This Row],[Código]],3),'[1]BASE DE FABRICANTES'!A:A,'[1]BASE DE FABRICANTES'!B:B,"VERIFICAR",0,1)</f>
        <v>CODIF</v>
      </c>
      <c r="O103" s="14">
        <f>[1]!MOVIMENTACOES[[#This Row],[PREÇO NET]]*[1]!MOVIMENTACOES[[#This Row],[Qtde]]</f>
        <v>7281.3099999999995</v>
      </c>
      <c r="P103" s="3" t="s">
        <v>168</v>
      </c>
      <c r="Q103" s="3" t="s">
        <v>169</v>
      </c>
      <c r="R103" s="3" t="s">
        <v>49</v>
      </c>
      <c r="S103" s="3" t="s">
        <v>120</v>
      </c>
      <c r="T103" s="6">
        <v>46036</v>
      </c>
      <c r="U103" s="6" t="s">
        <v>644</v>
      </c>
      <c r="V103" s="3" t="s">
        <v>91</v>
      </c>
      <c r="W103" s="3"/>
      <c r="X103" s="3"/>
      <c r="Y103" s="3" t="s">
        <v>645</v>
      </c>
      <c r="Z103" s="3" t="s">
        <v>646</v>
      </c>
      <c r="AA103" s="3" t="s">
        <v>647</v>
      </c>
      <c r="AB103" s="3"/>
      <c r="AC103" s="3" t="s">
        <v>648</v>
      </c>
      <c r="AD103" s="3" t="s">
        <v>125</v>
      </c>
      <c r="AE103" s="3" t="s">
        <v>44</v>
      </c>
      <c r="AF103" s="3" t="s">
        <v>45</v>
      </c>
      <c r="AG103" s="3" t="s">
        <v>46</v>
      </c>
      <c r="AH103" s="3" t="s">
        <v>146</v>
      </c>
      <c r="AI103" s="3" t="s">
        <v>110</v>
      </c>
      <c r="AJ103" s="4">
        <v>13</v>
      </c>
      <c r="AK103" s="4">
        <v>0</v>
      </c>
      <c r="AL103" s="4">
        <v>0</v>
      </c>
      <c r="AM103" s="5">
        <v>309.56927233829998</v>
      </c>
      <c r="AN103" s="5">
        <v>605.54</v>
      </c>
      <c r="AO103" s="5">
        <v>4024.4005403978999</v>
      </c>
      <c r="AP103" s="5">
        <v>7872.02</v>
      </c>
      <c r="AQ103" s="5">
        <v>7872.02</v>
      </c>
      <c r="AR103" s="5">
        <v>314.88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/>
      <c r="AY103" s="5"/>
      <c r="AZ103" s="5"/>
      <c r="BA103" s="5">
        <v>0</v>
      </c>
      <c r="BB103" s="5">
        <v>0</v>
      </c>
      <c r="BC103" s="5">
        <v>0</v>
      </c>
      <c r="BD103" s="5">
        <v>7557.14</v>
      </c>
      <c r="BE103" s="5">
        <v>49.12</v>
      </c>
      <c r="BF103" s="5">
        <v>0</v>
      </c>
      <c r="BG103" s="5">
        <v>7557.14</v>
      </c>
      <c r="BH103" s="5">
        <v>226.71</v>
      </c>
      <c r="BI103" s="5">
        <v>0</v>
      </c>
      <c r="BJ103" s="5">
        <v>0</v>
      </c>
      <c r="BK103" s="5">
        <v>0</v>
      </c>
      <c r="BL103" s="3" t="s">
        <v>49</v>
      </c>
      <c r="BM103" s="3"/>
      <c r="BN103" s="3" t="s">
        <v>228</v>
      </c>
      <c r="BO103" s="3" t="s">
        <v>51</v>
      </c>
      <c r="BP103" s="3" t="s">
        <v>468</v>
      </c>
      <c r="BQ103" s="6">
        <v>46958</v>
      </c>
    </row>
    <row r="104" spans="1:69" x14ac:dyDescent="0.25">
      <c r="A104" s="11" t="str">
        <f>LEFT([1]!MOVIMENTACOES[[#This Row],[Código]],9)</f>
        <v>030004003</v>
      </c>
      <c r="B104" s="11" t="s">
        <v>149</v>
      </c>
      <c r="C104" s="11" t="str">
        <f>TRIM(IFERROR(LEFT([1]!MOVIMENTACOES[[#This Row],[Descrição]],SEARCH([1]!MOVIMENTACOES[[#This Row],[EMBALAGEM]],[1]!MOVIMENTACOES[[#This Row],[Descrição]],1)-1),[1]!MOVIMENTACOES[[#This Row],[Descrição]]))</f>
        <v>KOJIC ACID</v>
      </c>
      <c r="D104" s="11" t="str">
        <f>_xlfn.CONCAT([1]!MOVIMENTACOES[[#This Row],[FABRICANTE]],[1]!MOVIMENTACOES[[#This Row],[DESCRIÇÃO SEM EMBALAGEM]],[1]!MOVIMENTACOES[[#This Row],[Coluna1]])</f>
        <v>SPEC CHEMKOJIC ACID1</v>
      </c>
      <c r="E104" s="12">
        <f>_xlfn.XLOOKUP([1]!MOVIMENTACOES[[#This Row],[CONCAT]],'[2]PRICE LIST'!$G:$G,'[2]PRICE LIST'!$Q:$Q,"VERIFICAR",0,1)</f>
        <v>96.2</v>
      </c>
      <c r="F104" s="13">
        <f>_xlfn.XLOOKUP([1]!MOVIMENTACOES[[#This Row],[Data]],[1]PTAX!A:A,[1]PTAX!C:C,"VERIFICAR",0,1)*[1]!MOVIMENTACOES[[#This Row],[PREÇO DE LISTA DOLAR]]</f>
        <v>517.45018000000005</v>
      </c>
      <c r="G104" s="14">
        <f>[1]!MOVIMENTACOES[[#This Row],[PREÇO NET]]-[1]!MOVIMENTACOES[[#This Row],[PREÇO DE LISTA REAL]]</f>
        <v>-157.25018000000006</v>
      </c>
      <c r="H104" s="15">
        <f>-[1]!MOVIMENTACOES[[#This Row],[DESCONTO CONCEDIDO]]/[1]!MOVIMENTACOES[[#This Row],[PREÇO DE LISTA REAL]]</f>
        <v>0.30389433819503175</v>
      </c>
      <c r="I10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360.2</v>
      </c>
      <c r="J104" s="15">
        <f>VLOOKUP([1]!MOVIMENTACOES[[#This Row],[DESC %]],[1]!DESC[#Data],2,TRUE)</f>
        <v>2.5000000000000001E-3</v>
      </c>
      <c r="K104" s="15">
        <f>_xlfn.XLOOKUP([1]!MOVIMENTACOES[[#This Row],[NF-e]],'[1]PEDIDOS E COMISSOES'!A:A,'[1]PEDIDOS E COMISSOES'!E:E,"VERIFICAR",0,1)</f>
        <v>-1E-3</v>
      </c>
      <c r="L104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04" s="16">
        <f>[1]!MOVIMENTACOES[[#This Row],[COMISSÃO FINAL]]*([1]!MOVIMENTACOES[[#This Row],[PREÇO NET]]*[1]!MOVIMENTACOES[[#This Row],[Qtde]])</f>
        <v>0.5403</v>
      </c>
      <c r="N104" s="14" t="str">
        <f>_xlfn.XLOOKUP(LEFT([1]!MOVIMENTACOES[[#This Row],[Código]],3),'[1]BASE DE FABRICANTES'!A:A,'[1]BASE DE FABRICANTES'!B:B,"VERIFICAR",0,1)</f>
        <v>SPEC CHEM</v>
      </c>
      <c r="O104" s="14">
        <f>[1]!MOVIMENTACOES[[#This Row],[PREÇO NET]]*[1]!MOVIMENTACOES[[#This Row],[Qtde]]</f>
        <v>360.2</v>
      </c>
      <c r="P104" s="17" t="s">
        <v>673</v>
      </c>
      <c r="Q104" s="17" t="s">
        <v>674</v>
      </c>
      <c r="R104" s="17" t="s">
        <v>49</v>
      </c>
      <c r="S104" s="17" t="s">
        <v>564</v>
      </c>
      <c r="T104" s="18">
        <v>46036</v>
      </c>
      <c r="U104" s="18" t="s">
        <v>675</v>
      </c>
      <c r="V104" s="17" t="s">
        <v>91</v>
      </c>
      <c r="W104" s="17"/>
      <c r="X104" s="17"/>
      <c r="Y104" s="17" t="s">
        <v>676</v>
      </c>
      <c r="Z104" s="17" t="s">
        <v>677</v>
      </c>
      <c r="AA104" s="17" t="s">
        <v>678</v>
      </c>
      <c r="AB104" s="17"/>
      <c r="AC104" s="17" t="s">
        <v>53</v>
      </c>
      <c r="AD104" s="17" t="s">
        <v>165</v>
      </c>
      <c r="AE104" s="17" t="s">
        <v>44</v>
      </c>
      <c r="AF104" s="17" t="s">
        <v>45</v>
      </c>
      <c r="AG104" s="17" t="s">
        <v>46</v>
      </c>
      <c r="AH104" s="17" t="s">
        <v>47</v>
      </c>
      <c r="AI104" s="17" t="s">
        <v>48</v>
      </c>
      <c r="AJ104" s="19">
        <v>1</v>
      </c>
      <c r="AK104" s="19">
        <v>68</v>
      </c>
      <c r="AL104" s="19">
        <v>0</v>
      </c>
      <c r="AM104" s="20">
        <v>153.5224824771</v>
      </c>
      <c r="AN104" s="20">
        <v>455.92</v>
      </c>
      <c r="AO104" s="20">
        <v>153.5224824771</v>
      </c>
      <c r="AP104" s="20">
        <v>455.92</v>
      </c>
      <c r="AQ104" s="20">
        <v>455.92</v>
      </c>
      <c r="AR104" s="20">
        <v>82.07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/>
      <c r="AY104" s="20"/>
      <c r="AZ104" s="20"/>
      <c r="BA104" s="20">
        <v>0</v>
      </c>
      <c r="BB104" s="20">
        <v>0</v>
      </c>
      <c r="BC104" s="20">
        <v>0</v>
      </c>
      <c r="BD104" s="20">
        <v>373.85</v>
      </c>
      <c r="BE104" s="20">
        <v>2.4300000000000002</v>
      </c>
      <c r="BF104" s="20">
        <v>0</v>
      </c>
      <c r="BG104" s="20">
        <v>373.85</v>
      </c>
      <c r="BH104" s="20">
        <v>11.22</v>
      </c>
      <c r="BI104" s="20">
        <v>0</v>
      </c>
      <c r="BJ104" s="20">
        <v>0</v>
      </c>
      <c r="BK104" s="20">
        <v>0</v>
      </c>
      <c r="BL104" s="17" t="s">
        <v>49</v>
      </c>
      <c r="BM104" s="17"/>
      <c r="BN104" s="17" t="s">
        <v>97</v>
      </c>
      <c r="BO104" s="17" t="s">
        <v>51</v>
      </c>
      <c r="BP104" s="17" t="s">
        <v>679</v>
      </c>
      <c r="BQ104" s="18">
        <v>46516</v>
      </c>
    </row>
    <row r="105" spans="1:69" x14ac:dyDescent="0.25">
      <c r="A105" s="11" t="str">
        <f>LEFT([1]!MOVIMENTACOES[[#This Row],[Código]],9)</f>
        <v>008014068</v>
      </c>
      <c r="B105" s="11" t="s">
        <v>149</v>
      </c>
      <c r="C105" s="11" t="str">
        <f>TRIM(IFERROR(LEFT([1]!MOVIMENTACOES[[#This Row],[Descrição]],SEARCH([1]!MOVIMENTACOES[[#This Row],[EMBALAGEM]],[1]!MOVIMENTACOES[[#This Row],[Descrição]],1)-1),[1]!MOVIMENTACOES[[#This Row],[Descrição]]))</f>
        <v>INNOVA SPHERE S5-JA45</v>
      </c>
      <c r="D105" s="11" t="str">
        <f>_xlfn.CONCAT([1]!MOVIMENTACOES[[#This Row],[FABRICANTE]],[1]!MOVIMENTACOES[[#This Row],[DESCRIÇÃO SEM EMBALAGEM]],[1]!MOVIMENTACOES[[#This Row],[Coluna1]])</f>
        <v>KPTINNOVA SPHERE S5-JA451</v>
      </c>
      <c r="E105" s="12">
        <f>_xlfn.XLOOKUP([1]!MOVIMENTACOES[[#This Row],[CONCAT]],'[2]PRICE LIST'!$G:$G,'[2]PRICE LIST'!$Q:$Q,"VERIFICAR",0,1)</f>
        <v>288.88888888888891</v>
      </c>
      <c r="F105" s="13">
        <f>_xlfn.XLOOKUP([1]!MOVIMENTACOES[[#This Row],[Data]],[1]PTAX!A:A,[1]PTAX!C:C,"VERIFICAR",0,1)*[1]!MOVIMENTACOES[[#This Row],[PREÇO DE LISTA DOLAR]]</f>
        <v>1555.377777777778</v>
      </c>
      <c r="G105" s="14">
        <f>[1]!MOVIMENTACOES[[#This Row],[PREÇO NET]]-[1]!MOVIMENTACOES[[#This Row],[PREÇO DE LISTA REAL]]</f>
        <v>-727.27777777777783</v>
      </c>
      <c r="H105" s="15">
        <f>-[1]!MOVIMENTACOES[[#This Row],[DESCONTO CONCEDIDO]]/[1]!MOVIMENTACOES[[#This Row],[PREÇO DE LISTA REAL]]</f>
        <v>0.46758915304606236</v>
      </c>
      <c r="I10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828.10000000000014</v>
      </c>
      <c r="J105" s="15">
        <f>VLOOKUP([1]!MOVIMENTACOES[[#This Row],[DESC %]],[1]!DESC[#Data],2,TRUE)</f>
        <v>2.5000000000000001E-3</v>
      </c>
      <c r="K105" s="15">
        <f>_xlfn.XLOOKUP([1]!MOVIMENTACOES[[#This Row],[NF-e]],'[1]PEDIDOS E COMISSOES'!A:A,'[1]PEDIDOS E COMISSOES'!E:E,"VERIFICAR",0,1)</f>
        <v>1.5E-3</v>
      </c>
      <c r="L105" s="15">
        <f>IF([1]!MOVIMENTACOES[[#This Row],[PERCENTUAL DE COMISSÕES]]+[1]!MOVIMENTACOES[[#This Row],[AJUSTE COMISSÃO]]&lt;0.06%,0.05%,[1]!MOVIMENTACOES[[#This Row],[PERCENTUAL DE COMISSÕES]]+[1]!MOVIMENTACOES[[#This Row],[AJUSTE COMISSÃO]])</f>
        <v>4.0000000000000001E-3</v>
      </c>
      <c r="M105" s="16">
        <f>[1]!MOVIMENTACOES[[#This Row],[COMISSÃO FINAL]]*([1]!MOVIMENTACOES[[#This Row],[PREÇO NET]]*[1]!MOVIMENTACOES[[#This Row],[Qtde]])</f>
        <v>3.3124000000000007</v>
      </c>
      <c r="N105" s="14" t="str">
        <f>_xlfn.XLOOKUP(LEFT([1]!MOVIMENTACOES[[#This Row],[Código]],3),'[1]BASE DE FABRICANTES'!A:A,'[1]BASE DE FABRICANTES'!B:B,"VERIFICAR",0,1)</f>
        <v>KPT</v>
      </c>
      <c r="O105" s="14">
        <f>[1]!MOVIMENTACOES[[#This Row],[PREÇO NET]]*[1]!MOVIMENTACOES[[#This Row],[Qtde]]</f>
        <v>828.10000000000014</v>
      </c>
      <c r="P105" s="3" t="s">
        <v>680</v>
      </c>
      <c r="Q105" s="3" t="s">
        <v>681</v>
      </c>
      <c r="R105" s="3" t="s">
        <v>49</v>
      </c>
      <c r="S105" s="3" t="s">
        <v>89</v>
      </c>
      <c r="T105" s="6">
        <v>46037</v>
      </c>
      <c r="U105" s="6" t="s">
        <v>682</v>
      </c>
      <c r="V105" s="3" t="s">
        <v>91</v>
      </c>
      <c r="W105" s="3"/>
      <c r="X105" s="3"/>
      <c r="Y105" s="3" t="s">
        <v>683</v>
      </c>
      <c r="Z105" s="3" t="s">
        <v>684</v>
      </c>
      <c r="AA105" s="3" t="s">
        <v>685</v>
      </c>
      <c r="AB105" s="3"/>
      <c r="AC105" s="3" t="s">
        <v>686</v>
      </c>
      <c r="AD105" s="3" t="s">
        <v>96</v>
      </c>
      <c r="AE105" s="3" t="s">
        <v>44</v>
      </c>
      <c r="AF105" s="3" t="s">
        <v>45</v>
      </c>
      <c r="AG105" s="3" t="s">
        <v>46</v>
      </c>
      <c r="AH105" s="3" t="s">
        <v>47</v>
      </c>
      <c r="AI105" s="3" t="s">
        <v>48</v>
      </c>
      <c r="AJ105" s="4">
        <v>1</v>
      </c>
      <c r="AK105" s="4">
        <v>9</v>
      </c>
      <c r="AL105" s="4">
        <v>0</v>
      </c>
      <c r="AM105" s="5">
        <v>526.34310000000005</v>
      </c>
      <c r="AN105" s="5">
        <v>1048.1400000000001</v>
      </c>
      <c r="AO105" s="5">
        <v>526.34310000000005</v>
      </c>
      <c r="AP105" s="5">
        <v>1048.1400000000001</v>
      </c>
      <c r="AQ105" s="5">
        <v>1048.1400000000001</v>
      </c>
      <c r="AR105" s="5">
        <v>188.67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/>
      <c r="AY105" s="5"/>
      <c r="AZ105" s="5"/>
      <c r="BA105" s="5">
        <v>1048.1400000000001</v>
      </c>
      <c r="BB105" s="5">
        <v>68.13</v>
      </c>
      <c r="BC105" s="5">
        <v>0</v>
      </c>
      <c r="BD105" s="5">
        <v>859.47</v>
      </c>
      <c r="BE105" s="5">
        <v>5.59</v>
      </c>
      <c r="BF105" s="5">
        <v>0</v>
      </c>
      <c r="BG105" s="5">
        <v>859.47</v>
      </c>
      <c r="BH105" s="5">
        <v>25.78</v>
      </c>
      <c r="BI105" s="5">
        <v>0</v>
      </c>
      <c r="BJ105" s="5">
        <v>0</v>
      </c>
      <c r="BK105" s="5">
        <v>0</v>
      </c>
      <c r="BL105" s="3" t="s">
        <v>49</v>
      </c>
      <c r="BM105" s="3"/>
      <c r="BN105" s="3" t="s">
        <v>166</v>
      </c>
      <c r="BO105" s="3" t="s">
        <v>51</v>
      </c>
      <c r="BP105" s="3" t="s">
        <v>687</v>
      </c>
      <c r="BQ105" s="6">
        <v>46490</v>
      </c>
    </row>
    <row r="106" spans="1:69" x14ac:dyDescent="0.25">
      <c r="A106" s="11" t="str">
        <f>LEFT([1]!MOVIMENTACOES[[#This Row],[Código]],9)</f>
        <v>001004129</v>
      </c>
      <c r="B106" s="11" t="s">
        <v>149</v>
      </c>
      <c r="C106" s="11" t="str">
        <f>TRIM(IFERROR(LEFT([1]!MOVIMENTACOES[[#This Row],[Descrição]],SEARCH([1]!MOVIMENTACOES[[#This Row],[EMBALAGEM]],[1]!MOVIMENTACOES[[#This Row],[Descrição]],1)-1),[1]!MOVIMENTACOES[[#This Row],[Descrição]]))</f>
        <v>PANTODIUM CICA PENT</v>
      </c>
      <c r="D106" s="11" t="str">
        <f>_xlfn.CONCAT([1]!MOVIMENTACOES[[#This Row],[FABRICANTE]],[1]!MOVIMENTACOES[[#This Row],[DESCRIÇÃO SEM EMBALAGEM]],[1]!MOVIMENTACOES[[#This Row],[Coluna1]])</f>
        <v>CODIFPANTODIUM CICA PENT1</v>
      </c>
      <c r="E106" s="12">
        <f>_xlfn.XLOOKUP([1]!MOVIMENTACOES[[#This Row],[CONCAT]],'[2]PRICE LIST'!$G:$G,'[2]PRICE LIST'!$Q:$Q,"VERIFICAR",0,1)</f>
        <v>489.84807979999994</v>
      </c>
      <c r="F106" s="13">
        <f>_xlfn.XLOOKUP([1]!MOVIMENTACOES[[#This Row],[Data]],[1]PTAX!A:A,[1]PTAX!C:C,"VERIFICAR",0,1)*[1]!MOVIMENTACOES[[#This Row],[PREÇO DE LISTA DOLAR]]</f>
        <v>2637.3420616431999</v>
      </c>
      <c r="G106" s="14">
        <f>[1]!MOVIMENTACOES[[#This Row],[PREÇO NET]]-[1]!MOVIMENTACOES[[#This Row],[PREÇO DE LISTA REAL]]</f>
        <v>-665.66956164320004</v>
      </c>
      <c r="H106" s="15">
        <f>-[1]!MOVIMENTACOES[[#This Row],[DESCONTO CONCEDIDO]]/[1]!MOVIMENTACOES[[#This Row],[PREÇO DE LISTA REAL]]</f>
        <v>0.25240167793344698</v>
      </c>
      <c r="I10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1971.6724999999999</v>
      </c>
      <c r="J106" s="15">
        <f>VLOOKUP([1]!MOVIMENTACOES[[#This Row],[DESC %]],[1]!DESC[#Data],2,TRUE)</f>
        <v>2.5000000000000001E-3</v>
      </c>
      <c r="K106" s="15">
        <f>_xlfn.XLOOKUP([1]!MOVIMENTACOES[[#This Row],[NF-e]],'[1]PEDIDOS E COMISSOES'!A:A,'[1]PEDIDOS E COMISSOES'!E:E,"VERIFICAR",0,1)</f>
        <v>0</v>
      </c>
      <c r="L106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106" s="16">
        <f>[1]!MOVIMENTACOES[[#This Row],[COMISSÃO FINAL]]*([1]!MOVIMENTACOES[[#This Row],[PREÇO NET]]*[1]!MOVIMENTACOES[[#This Row],[Qtde]])</f>
        <v>19.716725</v>
      </c>
      <c r="N106" s="14" t="str">
        <f>_xlfn.XLOOKUP(LEFT([1]!MOVIMENTACOES[[#This Row],[Código]],3),'[1]BASE DE FABRICANTES'!A:A,'[1]BASE DE FABRICANTES'!B:B,"VERIFICAR",0,1)</f>
        <v>CODIF</v>
      </c>
      <c r="O106" s="14">
        <f>[1]!MOVIMENTACOES[[#This Row],[PREÇO NET]]*[1]!MOVIMENTACOES[[#This Row],[Qtde]]</f>
        <v>7886.69</v>
      </c>
      <c r="P106" s="17" t="s">
        <v>688</v>
      </c>
      <c r="Q106" s="17" t="s">
        <v>689</v>
      </c>
      <c r="R106" s="17" t="s">
        <v>49</v>
      </c>
      <c r="S106" s="17" t="s">
        <v>120</v>
      </c>
      <c r="T106" s="18">
        <v>46037</v>
      </c>
      <c r="U106" s="18" t="s">
        <v>690</v>
      </c>
      <c r="V106" s="17" t="s">
        <v>91</v>
      </c>
      <c r="W106" s="17"/>
      <c r="X106" s="17"/>
      <c r="Y106" s="17" t="s">
        <v>691</v>
      </c>
      <c r="Z106" s="17" t="s">
        <v>692</v>
      </c>
      <c r="AA106" s="17" t="s">
        <v>693</v>
      </c>
      <c r="AB106" s="17"/>
      <c r="AC106" s="17" t="s">
        <v>694</v>
      </c>
      <c r="AD106" s="17" t="s">
        <v>125</v>
      </c>
      <c r="AE106" s="17" t="s">
        <v>44</v>
      </c>
      <c r="AF106" s="17" t="s">
        <v>45</v>
      </c>
      <c r="AG106" s="17" t="s">
        <v>46</v>
      </c>
      <c r="AH106" s="17" t="s">
        <v>183</v>
      </c>
      <c r="AI106" s="17" t="s">
        <v>110</v>
      </c>
      <c r="AJ106" s="19">
        <v>4</v>
      </c>
      <c r="AK106" s="19">
        <v>0</v>
      </c>
      <c r="AL106" s="19">
        <v>0</v>
      </c>
      <c r="AM106" s="20">
        <v>1078.8032351551001</v>
      </c>
      <c r="AN106" s="20">
        <v>2131.63</v>
      </c>
      <c r="AO106" s="20">
        <v>4315.2129406204003</v>
      </c>
      <c r="AP106" s="20">
        <v>8526.52</v>
      </c>
      <c r="AQ106" s="20">
        <v>8526.52</v>
      </c>
      <c r="AR106" s="20">
        <v>341.06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/>
      <c r="AY106" s="20"/>
      <c r="AZ106" s="20"/>
      <c r="BA106" s="20">
        <v>0</v>
      </c>
      <c r="BB106" s="20">
        <v>0</v>
      </c>
      <c r="BC106" s="20">
        <v>0</v>
      </c>
      <c r="BD106" s="20">
        <v>8185.46</v>
      </c>
      <c r="BE106" s="20">
        <v>53.21</v>
      </c>
      <c r="BF106" s="20">
        <v>0</v>
      </c>
      <c r="BG106" s="20">
        <v>8185.46</v>
      </c>
      <c r="BH106" s="20">
        <v>245.56</v>
      </c>
      <c r="BI106" s="20">
        <v>0</v>
      </c>
      <c r="BJ106" s="20">
        <v>0</v>
      </c>
      <c r="BK106" s="20">
        <v>0</v>
      </c>
      <c r="BL106" s="17" t="s">
        <v>49</v>
      </c>
      <c r="BM106" s="17"/>
      <c r="BN106" s="17" t="s">
        <v>50</v>
      </c>
      <c r="BO106" s="17" t="s">
        <v>51</v>
      </c>
      <c r="BP106" s="17" t="s">
        <v>695</v>
      </c>
      <c r="BQ106" s="18">
        <v>46990</v>
      </c>
    </row>
    <row r="107" spans="1:69" x14ac:dyDescent="0.25">
      <c r="A107" s="11" t="str">
        <f>LEFT([1]!MOVIMENTACOES[[#This Row],[Código]],9)</f>
        <v>067004001</v>
      </c>
      <c r="B107" s="11" t="s">
        <v>149</v>
      </c>
      <c r="C107" s="11" t="str">
        <f>TRIM(IFERROR(LEFT([1]!MOVIMENTACOES[[#This Row],[Descrição]],SEARCH([1]!MOVIMENTACOES[[#This Row],[EMBALAGEM]],[1]!MOVIMENTACOES[[#This Row],[Descrição]],1)-1),[1]!MOVIMENTACOES[[#This Row],[Descrição]]))</f>
        <v>TRANEXAMIC ACID</v>
      </c>
      <c r="D107" s="11" t="str">
        <f>_xlfn.CONCAT([1]!MOVIMENTACOES[[#This Row],[FABRICANTE]],[1]!MOVIMENTACOES[[#This Row],[DESCRIÇÃO SEM EMBALAGEM]],[1]!MOVIMENTACOES[[#This Row],[Coluna1]])</f>
        <v>CHEMAXCELTRANEXAMIC ACID1</v>
      </c>
      <c r="E107" s="12">
        <f>_xlfn.XLOOKUP([1]!MOVIMENTACOES[[#This Row],[CONCAT]],'[2]PRICE LIST'!$G:$G,'[2]PRICE LIST'!$Q:$Q,"VERIFICAR",0,1)</f>
        <v>349.71718750000002</v>
      </c>
      <c r="F107" s="13">
        <f>_xlfn.XLOOKUP([1]!MOVIMENTACOES[[#This Row],[Data]],[1]PTAX!A:A,[1]PTAX!C:C,"VERIFICAR",0,1)*[1]!MOVIMENTACOES[[#This Row],[PREÇO DE LISTA DOLAR]]</f>
        <v>1882.8773375000003</v>
      </c>
      <c r="G107" s="14">
        <f>[1]!MOVIMENTACOES[[#This Row],[PREÇO NET]]-[1]!MOVIMENTACOES[[#This Row],[PREÇO DE LISTA REAL]]</f>
        <v>-617.75983750000023</v>
      </c>
      <c r="H107" s="15">
        <f>-[1]!MOVIMENTACOES[[#This Row],[DESCONTO CONCEDIDO]]/[1]!MOVIMENTACOES[[#This Row],[PREÇO DE LISTA REAL]]</f>
        <v>0.32809351156153055</v>
      </c>
      <c r="I10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1265.1175000000001</v>
      </c>
      <c r="J107" s="15">
        <f>VLOOKUP([1]!MOVIMENTACOES[[#This Row],[DESC %]],[1]!DESC[#Data],2,TRUE)</f>
        <v>2.5000000000000001E-3</v>
      </c>
      <c r="K107" s="15">
        <f>_xlfn.XLOOKUP([1]!MOVIMENTACOES[[#This Row],[NF-e]],'[1]PEDIDOS E COMISSOES'!A:A,'[1]PEDIDOS E COMISSOES'!E:E,"VERIFICAR",0,1)</f>
        <v>2E-3</v>
      </c>
      <c r="L107" s="15">
        <f>IF([1]!MOVIMENTACOES[[#This Row],[PERCENTUAL DE COMISSÕES]]+[1]!MOVIMENTACOES[[#This Row],[AJUSTE COMISSÃO]]&lt;0.06%,0.05%,[1]!MOVIMENTACOES[[#This Row],[PERCENTUAL DE COMISSÕES]]+[1]!MOVIMENTACOES[[#This Row],[AJUSTE COMISSÃO]])</f>
        <v>4.5000000000000005E-3</v>
      </c>
      <c r="M107" s="16">
        <f>[1]!MOVIMENTACOES[[#This Row],[COMISSÃO FINAL]]*([1]!MOVIMENTACOES[[#This Row],[PREÇO NET]]*[1]!MOVIMENTACOES[[#This Row],[Qtde]])</f>
        <v>22.772115000000003</v>
      </c>
      <c r="N107" s="14" t="str">
        <f>_xlfn.XLOOKUP(LEFT([1]!MOVIMENTACOES[[#This Row],[Código]],3),'[1]BASE DE FABRICANTES'!A:A,'[1]BASE DE FABRICANTES'!B:B,"VERIFICAR",0,1)</f>
        <v>CHEMAXCEL</v>
      </c>
      <c r="O107" s="14">
        <f>[1]!MOVIMENTACOES[[#This Row],[PREÇO NET]]*[1]!MOVIMENTACOES[[#This Row],[Qtde]]</f>
        <v>5060.47</v>
      </c>
      <c r="P107" s="3" t="s">
        <v>696</v>
      </c>
      <c r="Q107" s="3" t="s">
        <v>561</v>
      </c>
      <c r="R107" s="3" t="s">
        <v>49</v>
      </c>
      <c r="S107" s="3" t="s">
        <v>535</v>
      </c>
      <c r="T107" s="6">
        <v>46037</v>
      </c>
      <c r="U107" s="6" t="s">
        <v>697</v>
      </c>
      <c r="V107" s="3" t="s">
        <v>91</v>
      </c>
      <c r="W107" s="3"/>
      <c r="X107" s="3"/>
      <c r="Y107" s="3" t="s">
        <v>698</v>
      </c>
      <c r="Z107" s="3" t="s">
        <v>699</v>
      </c>
      <c r="AA107" s="3" t="s">
        <v>700</v>
      </c>
      <c r="AB107" s="3"/>
      <c r="AC107" s="3" t="s">
        <v>701</v>
      </c>
      <c r="AD107" s="3"/>
      <c r="AE107" s="3" t="s">
        <v>44</v>
      </c>
      <c r="AF107" s="3" t="s">
        <v>45</v>
      </c>
      <c r="AG107" s="3" t="s">
        <v>46</v>
      </c>
      <c r="AH107" s="3" t="s">
        <v>47</v>
      </c>
      <c r="AI107" s="3" t="s">
        <v>48</v>
      </c>
      <c r="AJ107" s="4">
        <v>4</v>
      </c>
      <c r="AK107" s="4">
        <v>9</v>
      </c>
      <c r="AL107" s="4">
        <v>0</v>
      </c>
      <c r="AM107" s="5">
        <v>493.68</v>
      </c>
      <c r="AN107" s="5">
        <v>1601.2750000000001</v>
      </c>
      <c r="AO107" s="5">
        <v>1974.72</v>
      </c>
      <c r="AP107" s="5">
        <v>6405.1</v>
      </c>
      <c r="AQ107" s="5">
        <v>6405.1</v>
      </c>
      <c r="AR107" s="5">
        <v>1152.92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/>
      <c r="AY107" s="5"/>
      <c r="AZ107" s="5"/>
      <c r="BA107" s="5">
        <v>0</v>
      </c>
      <c r="BB107" s="5">
        <v>0</v>
      </c>
      <c r="BC107" s="5">
        <v>0</v>
      </c>
      <c r="BD107" s="5">
        <v>5252.18</v>
      </c>
      <c r="BE107" s="5">
        <v>34.14</v>
      </c>
      <c r="BF107" s="5">
        <v>0</v>
      </c>
      <c r="BG107" s="5">
        <v>5252.18</v>
      </c>
      <c r="BH107" s="5">
        <v>157.57</v>
      </c>
      <c r="BI107" s="5">
        <v>0</v>
      </c>
      <c r="BJ107" s="5">
        <v>0</v>
      </c>
      <c r="BK107" s="5">
        <v>0</v>
      </c>
      <c r="BL107" s="3" t="s">
        <v>49</v>
      </c>
      <c r="BM107" s="3"/>
      <c r="BN107" s="3" t="s">
        <v>50</v>
      </c>
      <c r="BO107" s="3" t="s">
        <v>51</v>
      </c>
      <c r="BP107" s="3" t="s">
        <v>702</v>
      </c>
      <c r="BQ107" s="6">
        <v>46887</v>
      </c>
    </row>
    <row r="108" spans="1:69" x14ac:dyDescent="0.25">
      <c r="A108" s="11" t="str">
        <f>LEFT([1]!MOVIMENTACOES[[#This Row],[Código]],9)</f>
        <v>077004003</v>
      </c>
      <c r="B108" s="11" t="s">
        <v>149</v>
      </c>
      <c r="C108" s="11" t="str">
        <f>TRIM(IFERROR(LEFT([1]!MOVIMENTACOES[[#This Row],[Descrição]],SEARCH([1]!MOVIMENTACOES[[#This Row],[EMBALAGEM]],[1]!MOVIMENTACOES[[#This Row],[Descrição]],1)-1),[1]!MOVIMENTACOES[[#This Row],[Descrição]]))</f>
        <v>OLICONEW-8106</v>
      </c>
      <c r="D108" s="11" t="str">
        <f>_xlfn.CONCAT([1]!MOVIMENTACOES[[#This Row],[FABRICANTE]],[1]!MOVIMENTACOES[[#This Row],[DESCRIÇÃO SEM EMBALAGEM]],[1]!MOVIMENTACOES[[#This Row],[Coluna1]])</f>
        <v>OLIOLICONEW-81061</v>
      </c>
      <c r="E108" s="12">
        <f>_xlfn.XLOOKUP([1]!MOVIMENTACOES[[#This Row],[CONCAT]],'[2]PRICE LIST'!$G:$G,'[2]PRICE LIST'!$Q:$Q,"VERIFICAR",0,1)</f>
        <v>206.88980000000004</v>
      </c>
      <c r="F108" s="13">
        <f>_xlfn.XLOOKUP([1]!MOVIMENTACOES[[#This Row],[Data]],[1]PTAX!A:A,[1]PTAX!C:C,"VERIFICAR",0,1)*[1]!MOVIMENTACOES[[#This Row],[PREÇO DE LISTA DOLAR]]</f>
        <v>1113.8946832000004</v>
      </c>
      <c r="G108" s="14">
        <f>[1]!MOVIMENTACOES[[#This Row],[PREÇO NET]]-[1]!MOVIMENTACOES[[#This Row],[PREÇO DE LISTA REAL]]</f>
        <v>226.24531679999973</v>
      </c>
      <c r="H108" s="15">
        <f>-[1]!MOVIMENTACOES[[#This Row],[DESCONTO CONCEDIDO]]/[1]!MOVIMENTACOES[[#This Row],[PREÇO DE LISTA REAL]]</f>
        <v>-0.20311194605044836</v>
      </c>
      <c r="I10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1340.14</v>
      </c>
      <c r="J108" s="15">
        <f>VLOOKUP([1]!MOVIMENTACOES[[#This Row],[DESC %]],[1]!DESC[#Data],2,TRUE)</f>
        <v>0.01</v>
      </c>
      <c r="K108" s="15">
        <f>_xlfn.XLOOKUP([1]!MOVIMENTACOES[[#This Row],[NF-e]],'[1]PEDIDOS E COMISSOES'!A:A,'[1]PEDIDOS E COMISSOES'!E:E,"VERIFICAR",0,1)</f>
        <v>2E-3</v>
      </c>
      <c r="L108" s="15">
        <f>IF([1]!MOVIMENTACOES[[#This Row],[PERCENTUAL DE COMISSÕES]]+[1]!MOVIMENTACOES[[#This Row],[AJUSTE COMISSÃO]]&lt;0.06%,0.05%,[1]!MOVIMENTACOES[[#This Row],[PERCENTUAL DE COMISSÕES]]+[1]!MOVIMENTACOES[[#This Row],[AJUSTE COMISSÃO]])</f>
        <v>1.2E-2</v>
      </c>
      <c r="M108" s="16">
        <f>[1]!MOVIMENTACOES[[#This Row],[COMISSÃO FINAL]]*([1]!MOVIMENTACOES[[#This Row],[PREÇO NET]]*[1]!MOVIMENTACOES[[#This Row],[Qtde]])</f>
        <v>16.081680000000002</v>
      </c>
      <c r="N108" s="14" t="str">
        <f>_xlfn.XLOOKUP(LEFT([1]!MOVIMENTACOES[[#This Row],[Código]],3),'[1]BASE DE FABRICANTES'!A:A,'[1]BASE DE FABRICANTES'!B:B,"VERIFICAR",0,1)</f>
        <v>OLI</v>
      </c>
      <c r="O108" s="14">
        <f>[1]!MOVIMENTACOES[[#This Row],[PREÇO NET]]*[1]!MOVIMENTACOES[[#This Row],[Qtde]]</f>
        <v>1340.14</v>
      </c>
      <c r="P108" s="17" t="s">
        <v>703</v>
      </c>
      <c r="Q108" s="17" t="s">
        <v>704</v>
      </c>
      <c r="R108" s="17" t="s">
        <v>49</v>
      </c>
      <c r="S108" s="17" t="s">
        <v>89</v>
      </c>
      <c r="T108" s="18">
        <v>46037</v>
      </c>
      <c r="U108" s="18" t="s">
        <v>697</v>
      </c>
      <c r="V108" s="17" t="s">
        <v>91</v>
      </c>
      <c r="W108" s="17"/>
      <c r="X108" s="17"/>
      <c r="Y108" s="17" t="s">
        <v>698</v>
      </c>
      <c r="Z108" s="17" t="s">
        <v>699</v>
      </c>
      <c r="AA108" s="17" t="s">
        <v>700</v>
      </c>
      <c r="AB108" s="17"/>
      <c r="AC108" s="17" t="s">
        <v>701</v>
      </c>
      <c r="AD108" s="17"/>
      <c r="AE108" s="17" t="s">
        <v>44</v>
      </c>
      <c r="AF108" s="17" t="s">
        <v>45</v>
      </c>
      <c r="AG108" s="17" t="s">
        <v>46</v>
      </c>
      <c r="AH108" s="17" t="s">
        <v>47</v>
      </c>
      <c r="AI108" s="17" t="s">
        <v>48</v>
      </c>
      <c r="AJ108" s="19">
        <v>1</v>
      </c>
      <c r="AK108" s="19">
        <v>12</v>
      </c>
      <c r="AL108" s="19">
        <v>0</v>
      </c>
      <c r="AM108" s="20">
        <v>184.5145</v>
      </c>
      <c r="AN108" s="20">
        <v>1696.23</v>
      </c>
      <c r="AO108" s="20">
        <v>184.5145</v>
      </c>
      <c r="AP108" s="20">
        <v>1696.23</v>
      </c>
      <c r="AQ108" s="20">
        <v>1696.23</v>
      </c>
      <c r="AR108" s="20">
        <v>305.32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/>
      <c r="AY108" s="20"/>
      <c r="AZ108" s="20"/>
      <c r="BA108" s="20">
        <v>1696.23</v>
      </c>
      <c r="BB108" s="20">
        <v>110.25</v>
      </c>
      <c r="BC108" s="20">
        <v>0</v>
      </c>
      <c r="BD108" s="20">
        <v>1390.91</v>
      </c>
      <c r="BE108" s="20">
        <v>9.0399999999999991</v>
      </c>
      <c r="BF108" s="20">
        <v>0</v>
      </c>
      <c r="BG108" s="20">
        <v>1390.91</v>
      </c>
      <c r="BH108" s="20">
        <v>41.73</v>
      </c>
      <c r="BI108" s="20">
        <v>0</v>
      </c>
      <c r="BJ108" s="20">
        <v>0</v>
      </c>
      <c r="BK108" s="20">
        <v>0</v>
      </c>
      <c r="BL108" s="17" t="s">
        <v>49</v>
      </c>
      <c r="BM108" s="17"/>
      <c r="BN108" s="17" t="s">
        <v>50</v>
      </c>
      <c r="BO108" s="17" t="s">
        <v>51</v>
      </c>
      <c r="BP108" s="17" t="s">
        <v>705</v>
      </c>
      <c r="BQ108" s="18">
        <v>46367</v>
      </c>
    </row>
    <row r="109" spans="1:69" x14ac:dyDescent="0.25">
      <c r="A109" s="11" t="str">
        <f>LEFT([1]!MOVIMENTACOES[[#This Row],[Código]],9)</f>
        <v>077004003</v>
      </c>
      <c r="B109" s="11" t="s">
        <v>149</v>
      </c>
      <c r="C109" s="11" t="str">
        <f>TRIM(IFERROR(LEFT([1]!MOVIMENTACOES[[#This Row],[Descrição]],SEARCH([1]!MOVIMENTACOES[[#This Row],[EMBALAGEM]],[1]!MOVIMENTACOES[[#This Row],[Descrição]],1)-1),[1]!MOVIMENTACOES[[#This Row],[Descrição]]))</f>
        <v>OLICONEW-8106</v>
      </c>
      <c r="D109" s="11" t="str">
        <f>_xlfn.CONCAT([1]!MOVIMENTACOES[[#This Row],[FABRICANTE]],[1]!MOVIMENTACOES[[#This Row],[DESCRIÇÃO SEM EMBALAGEM]],[1]!MOVIMENTACOES[[#This Row],[Coluna1]])</f>
        <v>OLIOLICONEW-81061</v>
      </c>
      <c r="E109" s="12">
        <f>_xlfn.XLOOKUP([1]!MOVIMENTACOES[[#This Row],[CONCAT]],'[2]PRICE LIST'!$G:$G,'[2]PRICE LIST'!$Q:$Q,"VERIFICAR",0,1)</f>
        <v>206.88980000000004</v>
      </c>
      <c r="F109" s="13">
        <f>_xlfn.XLOOKUP([1]!MOVIMENTACOES[[#This Row],[Data]],[1]PTAX!A:A,[1]PTAX!C:C,"VERIFICAR",0,1)*[1]!MOVIMENTACOES[[#This Row],[PREÇO DE LISTA DOLAR]]</f>
        <v>1113.8946832000004</v>
      </c>
      <c r="G109" s="14">
        <f>[1]!MOVIMENTACOES[[#This Row],[PREÇO NET]]-[1]!MOVIMENTACOES[[#This Row],[PREÇO DE LISTA REAL]]</f>
        <v>-291.45468320000043</v>
      </c>
      <c r="H109" s="15">
        <f>-[1]!MOVIMENTACOES[[#This Row],[DESCONTO CONCEDIDO]]/[1]!MOVIMENTACOES[[#This Row],[PREÇO DE LISTA REAL]]</f>
        <v>0.26165371609702676</v>
      </c>
      <c r="I10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822.43999999999994</v>
      </c>
      <c r="J109" s="15">
        <f>VLOOKUP([1]!MOVIMENTACOES[[#This Row],[DESC %]],[1]!DESC[#Data],2,TRUE)</f>
        <v>2.5000000000000001E-3</v>
      </c>
      <c r="K109" s="15">
        <f>_xlfn.XLOOKUP([1]!MOVIMENTACOES[[#This Row],[NF-e]],'[1]PEDIDOS E COMISSOES'!A:A,'[1]PEDIDOS E COMISSOES'!E:E,"VERIFICAR",0,1)</f>
        <v>0</v>
      </c>
      <c r="L109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109" s="16">
        <f>[1]!MOVIMENTACOES[[#This Row],[COMISSÃO FINAL]]*([1]!MOVIMENTACOES[[#This Row],[PREÇO NET]]*[1]!MOVIMENTACOES[[#This Row],[Qtde]])</f>
        <v>2.0560999999999998</v>
      </c>
      <c r="N109" s="14" t="str">
        <f>_xlfn.XLOOKUP(LEFT([1]!MOVIMENTACOES[[#This Row],[Código]],3),'[1]BASE DE FABRICANTES'!A:A,'[1]BASE DE FABRICANTES'!B:B,"VERIFICAR",0,1)</f>
        <v>OLI</v>
      </c>
      <c r="O109" s="14">
        <f>[1]!MOVIMENTACOES[[#This Row],[PREÇO NET]]*[1]!MOVIMENTACOES[[#This Row],[Qtde]]</f>
        <v>822.43999999999994</v>
      </c>
      <c r="P109" s="3" t="s">
        <v>703</v>
      </c>
      <c r="Q109" s="3" t="s">
        <v>704</v>
      </c>
      <c r="R109" s="3" t="s">
        <v>49</v>
      </c>
      <c r="S109" s="3" t="s">
        <v>89</v>
      </c>
      <c r="T109" s="6">
        <v>46037</v>
      </c>
      <c r="U109" s="6" t="s">
        <v>706</v>
      </c>
      <c r="V109" s="3" t="s">
        <v>91</v>
      </c>
      <c r="W109" s="3"/>
      <c r="X109" s="3"/>
      <c r="Y109" s="3" t="s">
        <v>707</v>
      </c>
      <c r="Z109" s="3" t="s">
        <v>708</v>
      </c>
      <c r="AA109" s="3" t="s">
        <v>709</v>
      </c>
      <c r="AB109" s="3"/>
      <c r="AC109" s="3" t="s">
        <v>710</v>
      </c>
      <c r="AD109" s="3"/>
      <c r="AE109" s="3" t="s">
        <v>44</v>
      </c>
      <c r="AF109" s="3" t="s">
        <v>45</v>
      </c>
      <c r="AG109" s="3" t="s">
        <v>46</v>
      </c>
      <c r="AH109" s="3" t="s">
        <v>202</v>
      </c>
      <c r="AI109" s="3" t="s">
        <v>110</v>
      </c>
      <c r="AJ109" s="4">
        <v>1</v>
      </c>
      <c r="AK109" s="4">
        <v>13</v>
      </c>
      <c r="AL109" s="4">
        <v>0</v>
      </c>
      <c r="AM109" s="5">
        <v>184.5145</v>
      </c>
      <c r="AN109" s="5">
        <v>889.17</v>
      </c>
      <c r="AO109" s="5">
        <v>184.5145</v>
      </c>
      <c r="AP109" s="5">
        <v>889.17</v>
      </c>
      <c r="AQ109" s="5">
        <v>889.17</v>
      </c>
      <c r="AR109" s="5">
        <v>35.57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/>
      <c r="AY109" s="5"/>
      <c r="AZ109" s="5"/>
      <c r="BA109" s="5">
        <v>889.17</v>
      </c>
      <c r="BB109" s="5">
        <v>57.8</v>
      </c>
      <c r="BC109" s="5">
        <v>0</v>
      </c>
      <c r="BD109" s="5">
        <v>853.6</v>
      </c>
      <c r="BE109" s="5">
        <v>5.55</v>
      </c>
      <c r="BF109" s="5">
        <v>0</v>
      </c>
      <c r="BG109" s="5">
        <v>853.6</v>
      </c>
      <c r="BH109" s="5">
        <v>25.61</v>
      </c>
      <c r="BI109" s="5">
        <v>0</v>
      </c>
      <c r="BJ109" s="5">
        <v>0</v>
      </c>
      <c r="BK109" s="5">
        <v>0</v>
      </c>
      <c r="BL109" s="3" t="s">
        <v>49</v>
      </c>
      <c r="BM109" s="3"/>
      <c r="BN109" s="3" t="s">
        <v>166</v>
      </c>
      <c r="BO109" s="3" t="s">
        <v>51</v>
      </c>
      <c r="BP109" s="3" t="s">
        <v>705</v>
      </c>
      <c r="BQ109" s="6">
        <v>46367</v>
      </c>
    </row>
    <row r="110" spans="1:69" x14ac:dyDescent="0.25">
      <c r="A110" s="11" t="str">
        <f>LEFT([1]!MOVIMENTACOES[[#This Row],[Código]],9)</f>
        <v>008014001</v>
      </c>
      <c r="B110" s="11" t="s">
        <v>149</v>
      </c>
      <c r="C110" s="11" t="str">
        <f>TRIM(IFERROR(LEFT([1]!MOVIMENTACOES[[#This Row],[Descrição]],SEARCH([1]!MOVIMENTACOES[[#This Row],[EMBALAGEM]],[1]!MOVIMENTACOES[[#This Row],[Descrição]],1)-1),[1]!MOVIMENTACOES[[#This Row],[Descrição]]))</f>
        <v>INNOVA SPHERE F5-BL45</v>
      </c>
      <c r="D110" s="11" t="str">
        <f>_xlfn.CONCAT([1]!MOVIMENTACOES[[#This Row],[FABRICANTE]],[1]!MOVIMENTACOES[[#This Row],[DESCRIÇÃO SEM EMBALAGEM]],[1]!MOVIMENTACOES[[#This Row],[Coluna1]])</f>
        <v>KPTINNOVA SPHERE F5-BL451</v>
      </c>
      <c r="E110" s="12">
        <f>_xlfn.XLOOKUP([1]!MOVIMENTACOES[[#This Row],[CONCAT]],'[2]PRICE LIST'!$G:$G,'[2]PRICE LIST'!$Q:$Q,"VERIFICAR",0,1)</f>
        <v>288.88888888888891</v>
      </c>
      <c r="F110" s="13">
        <f>_xlfn.XLOOKUP([1]!MOVIMENTACOES[[#This Row],[Data]],[1]PTAX!A:A,[1]PTAX!C:C,"VERIFICAR",0,1)*[1]!MOVIMENTACOES[[#This Row],[PREÇO DE LISTA DOLAR]]</f>
        <v>1555.377777777778</v>
      </c>
      <c r="G110" s="14">
        <f>[1]!MOVIMENTACOES[[#This Row],[PREÇO NET]]-[1]!MOVIMENTACOES[[#This Row],[PREÇO DE LISTA REAL]]</f>
        <v>-459.45777777777812</v>
      </c>
      <c r="H110" s="15">
        <f>-[1]!MOVIMENTACOES[[#This Row],[DESCONTO CONCEDIDO]]/[1]!MOVIMENTACOES[[#This Row],[PREÇO DE LISTA REAL]]</f>
        <v>0.29539947422562596</v>
      </c>
      <c r="I11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1095.9199999999998</v>
      </c>
      <c r="J110" s="15">
        <f>VLOOKUP([1]!MOVIMENTACOES[[#This Row],[DESC %]],[1]!DESC[#Data],2,TRUE)</f>
        <v>2.5000000000000001E-3</v>
      </c>
      <c r="K110" s="15">
        <f>_xlfn.XLOOKUP([1]!MOVIMENTACOES[[#This Row],[NF-e]],'[1]PEDIDOS E COMISSOES'!A:A,'[1]PEDIDOS E COMISSOES'!E:E,"VERIFICAR",0,1)</f>
        <v>2E-3</v>
      </c>
      <c r="L110" s="15">
        <f>IF([1]!MOVIMENTACOES[[#This Row],[PERCENTUAL DE COMISSÕES]]+[1]!MOVIMENTACOES[[#This Row],[AJUSTE COMISSÃO]]&lt;0.06%,0.05%,[1]!MOVIMENTACOES[[#This Row],[PERCENTUAL DE COMISSÕES]]+[1]!MOVIMENTACOES[[#This Row],[AJUSTE COMISSÃO]])</f>
        <v>4.5000000000000005E-3</v>
      </c>
      <c r="M110" s="16">
        <f>[1]!MOVIMENTACOES[[#This Row],[COMISSÃO FINAL]]*([1]!MOVIMENTACOES[[#This Row],[PREÇO NET]]*[1]!MOVIMENTACOES[[#This Row],[Qtde]])</f>
        <v>4.9316399999999998</v>
      </c>
      <c r="N110" s="14" t="str">
        <f>_xlfn.XLOOKUP(LEFT([1]!MOVIMENTACOES[[#This Row],[Código]],3),'[1]BASE DE FABRICANTES'!A:A,'[1]BASE DE FABRICANTES'!B:B,"VERIFICAR",0,1)</f>
        <v>KPT</v>
      </c>
      <c r="O110" s="14">
        <f>[1]!MOVIMENTACOES[[#This Row],[PREÇO NET]]*[1]!MOVIMENTACOES[[#This Row],[Qtde]]</f>
        <v>1095.9199999999998</v>
      </c>
      <c r="P110" s="17" t="s">
        <v>711</v>
      </c>
      <c r="Q110" s="17" t="s">
        <v>712</v>
      </c>
      <c r="R110" s="17" t="s">
        <v>49</v>
      </c>
      <c r="S110" s="17" t="s">
        <v>89</v>
      </c>
      <c r="T110" s="18">
        <v>46037</v>
      </c>
      <c r="U110" s="18" t="s">
        <v>713</v>
      </c>
      <c r="V110" s="17" t="s">
        <v>91</v>
      </c>
      <c r="W110" s="17"/>
      <c r="X110" s="17"/>
      <c r="Y110" s="17" t="s">
        <v>714</v>
      </c>
      <c r="Z110" s="17" t="s">
        <v>715</v>
      </c>
      <c r="AA110" s="17" t="s">
        <v>716</v>
      </c>
      <c r="AB110" s="17"/>
      <c r="AC110" s="17" t="s">
        <v>717</v>
      </c>
      <c r="AD110" s="17" t="s">
        <v>96</v>
      </c>
      <c r="AE110" s="17" t="s">
        <v>44</v>
      </c>
      <c r="AF110" s="17" t="s">
        <v>45</v>
      </c>
      <c r="AG110" s="17" t="s">
        <v>46</v>
      </c>
      <c r="AH110" s="17" t="s">
        <v>47</v>
      </c>
      <c r="AI110" s="17" t="s">
        <v>48</v>
      </c>
      <c r="AJ110" s="19">
        <v>1</v>
      </c>
      <c r="AK110" s="19">
        <v>3</v>
      </c>
      <c r="AL110" s="19">
        <v>0</v>
      </c>
      <c r="AM110" s="20">
        <v>539.6</v>
      </c>
      <c r="AN110" s="20">
        <v>1387.11</v>
      </c>
      <c r="AO110" s="20">
        <v>539.6</v>
      </c>
      <c r="AP110" s="20">
        <v>1387.11</v>
      </c>
      <c r="AQ110" s="20">
        <v>1387.11</v>
      </c>
      <c r="AR110" s="20">
        <v>249.68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/>
      <c r="AY110" s="20"/>
      <c r="AZ110" s="20"/>
      <c r="BA110" s="20">
        <v>1387.11</v>
      </c>
      <c r="BB110" s="20">
        <v>90.16</v>
      </c>
      <c r="BC110" s="20">
        <v>0</v>
      </c>
      <c r="BD110" s="20">
        <v>1137.43</v>
      </c>
      <c r="BE110" s="20">
        <v>7.39</v>
      </c>
      <c r="BF110" s="20">
        <v>0</v>
      </c>
      <c r="BG110" s="20">
        <v>1137.43</v>
      </c>
      <c r="BH110" s="20">
        <v>34.119999999999997</v>
      </c>
      <c r="BI110" s="20">
        <v>0</v>
      </c>
      <c r="BJ110" s="20">
        <v>0</v>
      </c>
      <c r="BK110" s="20">
        <v>0</v>
      </c>
      <c r="BL110" s="17" t="s">
        <v>49</v>
      </c>
      <c r="BM110" s="17"/>
      <c r="BN110" s="17" t="s">
        <v>166</v>
      </c>
      <c r="BO110" s="17" t="s">
        <v>51</v>
      </c>
      <c r="BP110" s="17" t="s">
        <v>718</v>
      </c>
      <c r="BQ110" s="18">
        <v>46479</v>
      </c>
    </row>
    <row r="111" spans="1:69" x14ac:dyDescent="0.25">
      <c r="A111" s="11" t="str">
        <f>LEFT([1]!MOVIMENTACOES[[#This Row],[Código]],9)</f>
        <v>030004006</v>
      </c>
      <c r="B111" s="11" t="s">
        <v>204</v>
      </c>
      <c r="C111" s="11" t="str">
        <f>TRIM(IFERROR(LEFT([1]!MOVIMENTACOES[[#This Row],[Descrição]],SEARCH([1]!MOVIMENTACOES[[#This Row],[EMBALAGEM]],[1]!MOVIMENTACOES[[#This Row],[Descrição]],1)-1),[1]!MOVIMENTACOES[[#This Row],[Descrição]]))</f>
        <v>MANDELIC ACID</v>
      </c>
      <c r="D111" s="11" t="str">
        <f>_xlfn.CONCAT([1]!MOVIMENTACOES[[#This Row],[FABRICANTE]],[1]!MOVIMENTACOES[[#This Row],[DESCRIÇÃO SEM EMBALAGEM]],[1]!MOVIMENTACOES[[#This Row],[Coluna1]])</f>
        <v>SPEC CHEMMANDELIC ACID25</v>
      </c>
      <c r="E111" s="12">
        <f>_xlfn.XLOOKUP([1]!MOVIMENTACOES[[#This Row],[CONCAT]],'[2]PRICE LIST'!$G:$G,'[2]PRICE LIST'!$Q:$Q,"VERIFICAR",0,1)</f>
        <v>55.480743999999994</v>
      </c>
      <c r="F111" s="13">
        <f>_xlfn.XLOOKUP([1]!MOVIMENTACOES[[#This Row],[Data]],[1]PTAX!A:A,[1]PTAX!C:C,"VERIFICAR",0,1)*[1]!MOVIMENTACOES[[#This Row],[PREÇO DE LISTA DOLAR]]</f>
        <v>298.70832569599997</v>
      </c>
      <c r="G111" s="14">
        <f>[1]!MOVIMENTACOES[[#This Row],[PREÇO NET]]-[1]!MOVIMENTACOES[[#This Row],[PREÇO DE LISTA REAL]]</f>
        <v>66.185274303999961</v>
      </c>
      <c r="H111" s="15">
        <f>-[1]!MOVIMENTACOES[[#This Row],[DESCONTO CONCEDIDO]]/[1]!MOVIMENTACOES[[#This Row],[PREÇO DE LISTA REAL]]</f>
        <v>-0.22157157538138969</v>
      </c>
      <c r="I11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364.89359999999994</v>
      </c>
      <c r="J111" s="15">
        <f>VLOOKUP([1]!MOVIMENTACOES[[#This Row],[DESC %]],[1]!DESC[#Data],2,TRUE)</f>
        <v>0.01</v>
      </c>
      <c r="K111" s="15">
        <f>_xlfn.XLOOKUP([1]!MOVIMENTACOES[[#This Row],[NF-e]],'[1]PEDIDOS E COMISSOES'!A:A,'[1]PEDIDOS E COMISSOES'!E:E,"VERIFICAR",0,1)</f>
        <v>0</v>
      </c>
      <c r="L111" s="15">
        <f>IF([1]!MOVIMENTACOES[[#This Row],[PERCENTUAL DE COMISSÕES]]+[1]!MOVIMENTACOES[[#This Row],[AJUSTE COMISSÃO]]&lt;0.06%,0.05%,[1]!MOVIMENTACOES[[#This Row],[PERCENTUAL DE COMISSÕES]]+[1]!MOVIMENTACOES[[#This Row],[AJUSTE COMISSÃO]])</f>
        <v>0.01</v>
      </c>
      <c r="M111" s="16">
        <f>[1]!MOVIMENTACOES[[#This Row],[COMISSÃO FINAL]]*([1]!MOVIMENTACOES[[#This Row],[PREÇO NET]]*[1]!MOVIMENTACOES[[#This Row],[Qtde]])</f>
        <v>91.223399999999984</v>
      </c>
      <c r="N111" s="14" t="str">
        <f>_xlfn.XLOOKUP(LEFT([1]!MOVIMENTACOES[[#This Row],[Código]],3),'[1]BASE DE FABRICANTES'!A:A,'[1]BASE DE FABRICANTES'!B:B,"VERIFICAR",0,1)</f>
        <v>SPEC CHEM</v>
      </c>
      <c r="O111" s="14">
        <f>[1]!MOVIMENTACOES[[#This Row],[PREÇO NET]]*[1]!MOVIMENTACOES[[#This Row],[Qtde]]</f>
        <v>9122.3399999999983</v>
      </c>
      <c r="P111" s="3" t="s">
        <v>719</v>
      </c>
      <c r="Q111" s="3" t="s">
        <v>720</v>
      </c>
      <c r="R111" s="3" t="s">
        <v>49</v>
      </c>
      <c r="S111" s="3" t="s">
        <v>515</v>
      </c>
      <c r="T111" s="6">
        <v>46037</v>
      </c>
      <c r="U111" s="6" t="s">
        <v>721</v>
      </c>
      <c r="V111" s="3" t="s">
        <v>91</v>
      </c>
      <c r="W111" s="3"/>
      <c r="X111" s="3"/>
      <c r="Y111" s="3" t="s">
        <v>722</v>
      </c>
      <c r="Z111" s="3" t="s">
        <v>723</v>
      </c>
      <c r="AA111" s="3" t="s">
        <v>724</v>
      </c>
      <c r="AB111" s="3"/>
      <c r="AC111" s="3" t="s">
        <v>725</v>
      </c>
      <c r="AD111" s="3" t="s">
        <v>165</v>
      </c>
      <c r="AE111" s="3" t="s">
        <v>44</v>
      </c>
      <c r="AF111" s="3" t="s">
        <v>45</v>
      </c>
      <c r="AG111" s="3" t="s">
        <v>46</v>
      </c>
      <c r="AH111" s="3" t="s">
        <v>202</v>
      </c>
      <c r="AI111" s="3" t="s">
        <v>110</v>
      </c>
      <c r="AJ111" s="4">
        <v>25</v>
      </c>
      <c r="AK111" s="4">
        <v>425</v>
      </c>
      <c r="AL111" s="4">
        <v>1000</v>
      </c>
      <c r="AM111" s="5">
        <v>135.85393507180001</v>
      </c>
      <c r="AN111" s="5">
        <v>430.36</v>
      </c>
      <c r="AO111" s="5">
        <v>3396.3483767950001</v>
      </c>
      <c r="AP111" s="5">
        <v>10759</v>
      </c>
      <c r="AQ111" s="5">
        <v>10759</v>
      </c>
      <c r="AR111" s="5">
        <v>1291.08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/>
      <c r="AY111" s="5"/>
      <c r="AZ111" s="5"/>
      <c r="BA111" s="5">
        <v>0</v>
      </c>
      <c r="BB111" s="5">
        <v>0</v>
      </c>
      <c r="BC111" s="5">
        <v>0</v>
      </c>
      <c r="BD111" s="5">
        <v>9467.92</v>
      </c>
      <c r="BE111" s="5">
        <v>61.54</v>
      </c>
      <c r="BF111" s="5">
        <v>0</v>
      </c>
      <c r="BG111" s="5">
        <v>9467.92</v>
      </c>
      <c r="BH111" s="5">
        <v>284.04000000000002</v>
      </c>
      <c r="BI111" s="5">
        <v>0</v>
      </c>
      <c r="BJ111" s="5">
        <v>0</v>
      </c>
      <c r="BK111" s="5">
        <v>0</v>
      </c>
      <c r="BL111" s="3" t="s">
        <v>49</v>
      </c>
      <c r="BM111" s="3"/>
      <c r="BN111" s="3" t="s">
        <v>166</v>
      </c>
      <c r="BO111" s="3" t="s">
        <v>51</v>
      </c>
      <c r="BP111" s="3" t="s">
        <v>516</v>
      </c>
      <c r="BQ111" s="6">
        <v>46306</v>
      </c>
    </row>
    <row r="112" spans="1:69" x14ac:dyDescent="0.25">
      <c r="A112" s="11" t="str">
        <f>LEFT([1]!MOVIMENTACOES[[#This Row],[Código]],9)</f>
        <v>066004001</v>
      </c>
      <c r="B112" s="11" t="s">
        <v>149</v>
      </c>
      <c r="C112" s="11" t="str">
        <f>TRIM(IFERROR(LEFT([1]!MOVIMENTACOES[[#This Row],[Descrição]],SEARCH([1]!MOVIMENTACOES[[#This Row],[EMBALAGEM]],[1]!MOVIMENTACOES[[#This Row],[Descrição]],1)-1),[1]!MOVIMENTACOES[[#This Row],[Descrição]]))</f>
        <v>SALICAP CSA</v>
      </c>
      <c r="D112" s="11" t="str">
        <f>_xlfn.CONCAT([1]!MOVIMENTACOES[[#This Row],[FABRICANTE]],[1]!MOVIMENTACOES[[#This Row],[DESCRIÇÃO SEM EMBALAGEM]],[1]!MOVIMENTACOES[[#This Row],[Coluna1]])</f>
        <v>SALICYLATESSALICAP CSA1</v>
      </c>
      <c r="E112" s="12">
        <f>_xlfn.XLOOKUP([1]!MOVIMENTACOES[[#This Row],[CONCAT]],'[2]PRICE LIST'!$G:$G,'[2]PRICE LIST'!$Q:$Q,"VERIFICAR",0,1)</f>
        <v>306.81818181818181</v>
      </c>
      <c r="F112" s="13">
        <f>_xlfn.XLOOKUP([1]!MOVIMENTACOES[[#This Row],[Data]],[1]PTAX!A:A,[1]PTAX!C:C,"VERIFICAR",0,1)*[1]!MOVIMENTACOES[[#This Row],[PREÇO DE LISTA DOLAR]]</f>
        <v>1651.909090909091</v>
      </c>
      <c r="G112" s="14">
        <f>[1]!MOVIMENTACOES[[#This Row],[PREÇO NET]]-[1]!MOVIMENTACOES[[#This Row],[PREÇO DE LISTA REAL]]</f>
        <v>103.05090909090882</v>
      </c>
      <c r="H112" s="15">
        <f>-[1]!MOVIMENTACOES[[#This Row],[DESCONTO CONCEDIDO]]/[1]!MOVIMENTACOES[[#This Row],[PREÇO DE LISTA REAL]]</f>
        <v>-6.2382917836112321E-2</v>
      </c>
      <c r="I11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1754.9599999999998</v>
      </c>
      <c r="J112" s="15">
        <f>VLOOKUP([1]!MOVIMENTACOES[[#This Row],[DESC %]],[1]!DESC[#Data],2,TRUE)</f>
        <v>0.01</v>
      </c>
      <c r="K112" s="15">
        <f>_xlfn.XLOOKUP([1]!MOVIMENTACOES[[#This Row],[NF-e]],'[1]PEDIDOS E COMISSOES'!A:A,'[1]PEDIDOS E COMISSOES'!E:E,"VERIFICAR",0,1)</f>
        <v>2E-3</v>
      </c>
      <c r="L112" s="15">
        <f>IF([1]!MOVIMENTACOES[[#This Row],[PERCENTUAL DE COMISSÕES]]+[1]!MOVIMENTACOES[[#This Row],[AJUSTE COMISSÃO]]&lt;0.06%,0.05%,[1]!MOVIMENTACOES[[#This Row],[PERCENTUAL DE COMISSÕES]]+[1]!MOVIMENTACOES[[#This Row],[AJUSTE COMISSÃO]])</f>
        <v>1.2E-2</v>
      </c>
      <c r="M112" s="16">
        <f>[1]!MOVIMENTACOES[[#This Row],[COMISSÃO FINAL]]*([1]!MOVIMENTACOES[[#This Row],[PREÇO NET]]*[1]!MOVIMENTACOES[[#This Row],[Qtde]])</f>
        <v>21.059519999999999</v>
      </c>
      <c r="N112" s="14" t="str">
        <f>_xlfn.XLOOKUP(LEFT([1]!MOVIMENTACOES[[#This Row],[Código]],3),'[1]BASE DE FABRICANTES'!A:A,'[1]BASE DE FABRICANTES'!B:B,"VERIFICAR",0,1)</f>
        <v>SALICYLATES</v>
      </c>
      <c r="O112" s="14">
        <f>[1]!MOVIMENTACOES[[#This Row],[PREÇO NET]]*[1]!MOVIMENTACOES[[#This Row],[Qtde]]</f>
        <v>1754.9599999999998</v>
      </c>
      <c r="P112" s="17" t="s">
        <v>726</v>
      </c>
      <c r="Q112" s="17" t="s">
        <v>727</v>
      </c>
      <c r="R112" s="17" t="s">
        <v>49</v>
      </c>
      <c r="S112" s="17" t="s">
        <v>728</v>
      </c>
      <c r="T112" s="18">
        <v>46037</v>
      </c>
      <c r="U112" s="18" t="s">
        <v>729</v>
      </c>
      <c r="V112" s="17" t="s">
        <v>91</v>
      </c>
      <c r="W112" s="17"/>
      <c r="X112" s="17"/>
      <c r="Y112" s="17" t="s">
        <v>730</v>
      </c>
      <c r="Z112" s="17" t="s">
        <v>731</v>
      </c>
      <c r="AA112" s="17" t="s">
        <v>732</v>
      </c>
      <c r="AB112" s="17"/>
      <c r="AC112" s="17" t="s">
        <v>733</v>
      </c>
      <c r="AD112" s="17" t="s">
        <v>734</v>
      </c>
      <c r="AE112" s="17" t="s">
        <v>44</v>
      </c>
      <c r="AF112" s="17" t="s">
        <v>45</v>
      </c>
      <c r="AG112" s="17" t="s">
        <v>46</v>
      </c>
      <c r="AH112" s="17" t="s">
        <v>116</v>
      </c>
      <c r="AI112" s="17" t="s">
        <v>110</v>
      </c>
      <c r="AJ112" s="19">
        <v>1</v>
      </c>
      <c r="AK112" s="19">
        <v>39</v>
      </c>
      <c r="AL112" s="19">
        <v>0</v>
      </c>
      <c r="AM112" s="20">
        <v>774.37200952379999</v>
      </c>
      <c r="AN112" s="20">
        <v>1897.33</v>
      </c>
      <c r="AO112" s="20">
        <v>774.37200952379999</v>
      </c>
      <c r="AP112" s="20">
        <v>1897.33</v>
      </c>
      <c r="AQ112" s="20">
        <v>1897.33</v>
      </c>
      <c r="AR112" s="20">
        <v>75.89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/>
      <c r="AY112" s="20"/>
      <c r="AZ112" s="20"/>
      <c r="BA112" s="20">
        <v>0</v>
      </c>
      <c r="BB112" s="20">
        <v>0</v>
      </c>
      <c r="BC112" s="20">
        <v>0</v>
      </c>
      <c r="BD112" s="20">
        <v>1821.44</v>
      </c>
      <c r="BE112" s="20">
        <v>11.84</v>
      </c>
      <c r="BF112" s="20">
        <v>0</v>
      </c>
      <c r="BG112" s="20">
        <v>1821.44</v>
      </c>
      <c r="BH112" s="20">
        <v>54.64</v>
      </c>
      <c r="BI112" s="20">
        <v>0</v>
      </c>
      <c r="BJ112" s="20">
        <v>0</v>
      </c>
      <c r="BK112" s="20">
        <v>0</v>
      </c>
      <c r="BL112" s="17" t="s">
        <v>49</v>
      </c>
      <c r="BM112" s="17"/>
      <c r="BN112" s="17" t="s">
        <v>735</v>
      </c>
      <c r="BO112" s="17" t="s">
        <v>51</v>
      </c>
      <c r="BP112" s="17" t="s">
        <v>736</v>
      </c>
      <c r="BQ112" s="18">
        <v>46418</v>
      </c>
    </row>
    <row r="113" spans="1:69" x14ac:dyDescent="0.25">
      <c r="A113" s="11" t="str">
        <f>LEFT([1]!MOVIMENTACOES[[#This Row],[Código]],9)</f>
        <v>036004001</v>
      </c>
      <c r="B113" s="11" t="s">
        <v>86</v>
      </c>
      <c r="C113" s="11" t="str">
        <f>TRIM(IFERROR(LEFT([1]!MOVIMENTACOES[[#This Row],[Descrição]],SEARCH([1]!MOVIMENTACOES[[#This Row],[EMBALAGEM]],[1]!MOVIMENTACOES[[#This Row],[Descrição]],1)-1),[1]!MOVIMENTACOES[[#This Row],[Descrição]]))</f>
        <v>ZINC PYRITHIONE 50%</v>
      </c>
      <c r="D113" s="11" t="str">
        <f>_xlfn.CONCAT([1]!MOVIMENTACOES[[#This Row],[FABRICANTE]],[1]!MOVIMENTACOES[[#This Row],[DESCRIÇÃO SEM EMBALAGEM]],[1]!MOVIMENTACOES[[#This Row],[Coluna1]])</f>
        <v>IPELZINC PYRITHIONE 50%20</v>
      </c>
      <c r="E113" s="12">
        <f>_xlfn.XLOOKUP([1]!MOVIMENTACOES[[#This Row],[CONCAT]],'[2]PRICE LIST'!$G:$G,'[2]PRICE LIST'!$Q:$Q,"VERIFICAR",0,1)</f>
        <v>40.479999999999997</v>
      </c>
      <c r="F113" s="13">
        <f>_xlfn.XLOOKUP([1]!MOVIMENTACOES[[#This Row],[Data]],[1]PTAX!A:A,[1]PTAX!C:C,"VERIFICAR",0,1)*[1]!MOVIMENTACOES[[#This Row],[PREÇO DE LISTA DOLAR]]</f>
        <v>217.94432</v>
      </c>
      <c r="G113" s="14">
        <f>[1]!MOVIMENTACOES[[#This Row],[PREÇO NET]]-[1]!MOVIMENTACOES[[#This Row],[PREÇO DE LISTA REAL]]</f>
        <v>-92.517319999999984</v>
      </c>
      <c r="H113" s="15">
        <f>-[1]!MOVIMENTACOES[[#This Row],[DESCONTO CONCEDIDO]]/[1]!MOVIMENTACOES[[#This Row],[PREÇO DE LISTA REAL]]</f>
        <v>0.42449979884770561</v>
      </c>
      <c r="I11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125.42700000000002</v>
      </c>
      <c r="J113" s="15">
        <f>VLOOKUP([1]!MOVIMENTACOES[[#This Row],[DESC %]],[1]!DESC[#Data],2,TRUE)</f>
        <v>2.5000000000000001E-3</v>
      </c>
      <c r="K113" s="15">
        <f>_xlfn.XLOOKUP([1]!MOVIMENTACOES[[#This Row],[NF-e]],'[1]PEDIDOS E COMISSOES'!A:A,'[1]PEDIDOS E COMISSOES'!E:E,"VERIFICAR",0,1)</f>
        <v>0</v>
      </c>
      <c r="L113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113" s="16">
        <f>[1]!MOVIMENTACOES[[#This Row],[COMISSÃO FINAL]]*([1]!MOVIMENTACOES[[#This Row],[PREÇO NET]]*[1]!MOVIMENTACOES[[#This Row],[Qtde]])</f>
        <v>12.542700000000002</v>
      </c>
      <c r="N113" s="14" t="str">
        <f>_xlfn.XLOOKUP(LEFT([1]!MOVIMENTACOES[[#This Row],[Código]],3),'[1]BASE DE FABRICANTES'!A:A,'[1]BASE DE FABRICANTES'!B:B,"VERIFICAR",0,1)</f>
        <v>IPEL</v>
      </c>
      <c r="O113" s="14">
        <f>[1]!MOVIMENTACOES[[#This Row],[PREÇO NET]]*[1]!MOVIMENTACOES[[#This Row],[Qtde]]</f>
        <v>5017.0800000000008</v>
      </c>
      <c r="P113" s="3" t="s">
        <v>737</v>
      </c>
      <c r="Q113" s="3" t="s">
        <v>738</v>
      </c>
      <c r="R113" s="3" t="s">
        <v>49</v>
      </c>
      <c r="S113" s="3" t="s">
        <v>739</v>
      </c>
      <c r="T113" s="6">
        <v>46037</v>
      </c>
      <c r="U113" s="6" t="s">
        <v>721</v>
      </c>
      <c r="V113" s="3" t="s">
        <v>91</v>
      </c>
      <c r="W113" s="3"/>
      <c r="X113" s="3"/>
      <c r="Y113" s="3" t="s">
        <v>722</v>
      </c>
      <c r="Z113" s="3" t="s">
        <v>723</v>
      </c>
      <c r="AA113" s="3" t="s">
        <v>724</v>
      </c>
      <c r="AB113" s="3"/>
      <c r="AC113" s="3" t="s">
        <v>725</v>
      </c>
      <c r="AD113" s="3" t="s">
        <v>740</v>
      </c>
      <c r="AE113" s="3" t="s">
        <v>44</v>
      </c>
      <c r="AF113" s="3" t="s">
        <v>45</v>
      </c>
      <c r="AG113" s="3" t="s">
        <v>46</v>
      </c>
      <c r="AH113" s="3" t="s">
        <v>202</v>
      </c>
      <c r="AI113" s="3" t="s">
        <v>110</v>
      </c>
      <c r="AJ113" s="4">
        <v>40</v>
      </c>
      <c r="AK113" s="4">
        <v>60</v>
      </c>
      <c r="AL113" s="4">
        <v>0</v>
      </c>
      <c r="AM113" s="5">
        <v>112.4104076923</v>
      </c>
      <c r="AN113" s="5">
        <v>147.93</v>
      </c>
      <c r="AO113" s="5">
        <v>4496.4163076920004</v>
      </c>
      <c r="AP113" s="5">
        <v>5917.2</v>
      </c>
      <c r="AQ113" s="5">
        <v>5917.2</v>
      </c>
      <c r="AR113" s="5">
        <v>710.06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/>
      <c r="AY113" s="5"/>
      <c r="AZ113" s="5"/>
      <c r="BA113" s="5">
        <v>0</v>
      </c>
      <c r="BB113" s="5">
        <v>0</v>
      </c>
      <c r="BC113" s="5">
        <v>0</v>
      </c>
      <c r="BD113" s="5">
        <v>5207.1400000000003</v>
      </c>
      <c r="BE113" s="5">
        <v>33.85</v>
      </c>
      <c r="BF113" s="5">
        <v>0</v>
      </c>
      <c r="BG113" s="5">
        <v>5207.1400000000003</v>
      </c>
      <c r="BH113" s="5">
        <v>156.21</v>
      </c>
      <c r="BI113" s="5">
        <v>0</v>
      </c>
      <c r="BJ113" s="5">
        <v>0</v>
      </c>
      <c r="BK113" s="5">
        <v>0</v>
      </c>
      <c r="BL113" s="3" t="s">
        <v>49</v>
      </c>
      <c r="BM113" s="3"/>
      <c r="BN113" s="3" t="s">
        <v>166</v>
      </c>
      <c r="BO113" s="3" t="s">
        <v>51</v>
      </c>
      <c r="BP113" s="3" t="s">
        <v>741</v>
      </c>
      <c r="BQ113" s="6">
        <v>46166</v>
      </c>
    </row>
    <row r="114" spans="1:69" x14ac:dyDescent="0.25">
      <c r="A114" s="11" t="str">
        <f>LEFT([1]!MOVIMENTACOES[[#This Row],[Código]],9)</f>
        <v>090004005</v>
      </c>
      <c r="B114" s="11" t="s">
        <v>149</v>
      </c>
      <c r="C114" s="11" t="str">
        <f>TRIM(IFERROR(LEFT([1]!MOVIMENTACOES[[#This Row],[Descrição]],SEARCH([1]!MOVIMENTACOES[[#This Row],[EMBALAGEM]],[1]!MOVIMENTACOES[[#This Row],[Descrição]],1)-1),[1]!MOVIMENTACOES[[#This Row],[Descrição]]))</f>
        <v>WKPEP SAWMPEPTIDES</v>
      </c>
      <c r="D114" s="11" t="str">
        <f>_xlfn.CONCAT([1]!MOVIMENTACOES[[#This Row],[FABRICANTE]],[1]!MOVIMENTACOES[[#This Row],[DESCRIÇÃO SEM EMBALAGEM]],[1]!MOVIMENTACOES[[#This Row],[Coluna1]])</f>
        <v>WINKEYWKPEP SAWMPEPTIDES1</v>
      </c>
      <c r="E114" s="12">
        <f>_xlfn.XLOOKUP([1]!MOVIMENTACOES[[#This Row],[CONCAT]],'[2]PRICE LIST'!$G:$G,'[2]PRICE LIST'!$Q:$Q,"VERIFICAR",0,1)</f>
        <v>1704.3066666666668</v>
      </c>
      <c r="F114" s="13">
        <f>_xlfn.XLOOKUP([1]!MOVIMENTACOES[[#This Row],[Data]],[1]PTAX!A:A,[1]PTAX!C:C,"VERIFICAR",0,1)*[1]!MOVIMENTACOES[[#This Row],[PREÇO DE LISTA DOLAR]]</f>
        <v>9175.987093333335</v>
      </c>
      <c r="G114" s="14">
        <f>[1]!MOVIMENTACOES[[#This Row],[PREÇO NET]]-[1]!MOVIMENTACOES[[#This Row],[PREÇO DE LISTA REAL]]</f>
        <v>-2926.3345933333349</v>
      </c>
      <c r="H114" s="15">
        <f>-[1]!MOVIMENTACOES[[#This Row],[DESCONTO CONCEDIDO]]/[1]!MOVIMENTACOES[[#This Row],[PREÇO DE LISTA REAL]]</f>
        <v>0.31891223947551278</v>
      </c>
      <c r="I11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6249.6525000000001</v>
      </c>
      <c r="J114" s="15">
        <f>VLOOKUP([1]!MOVIMENTACOES[[#This Row],[DESC %]],[1]!DESC[#Data],2,TRUE)</f>
        <v>2.5000000000000001E-3</v>
      </c>
      <c r="K114" s="15">
        <f>_xlfn.XLOOKUP([1]!MOVIMENTACOES[[#This Row],[NF-e]],'[1]PEDIDOS E COMISSOES'!A:A,'[1]PEDIDOS E COMISSOES'!E:E,"VERIFICAR",0,1)</f>
        <v>-1E-3</v>
      </c>
      <c r="L114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14" s="16">
        <f>[1]!MOVIMENTACOES[[#This Row],[COMISSÃO FINAL]]*([1]!MOVIMENTACOES[[#This Row],[PREÇO NET]]*[1]!MOVIMENTACOES[[#This Row],[Qtde]])</f>
        <v>74.995829999999998</v>
      </c>
      <c r="N114" s="14" t="str">
        <f>_xlfn.XLOOKUP(LEFT([1]!MOVIMENTACOES[[#This Row],[Código]],3),'[1]BASE DE FABRICANTES'!A:A,'[1]BASE DE FABRICANTES'!B:B,"VERIFICAR",0,1)</f>
        <v>WINKEY</v>
      </c>
      <c r="O114" s="14">
        <f>[1]!MOVIMENTACOES[[#This Row],[PREÇO NET]]*[1]!MOVIMENTACOES[[#This Row],[Qtde]]</f>
        <v>49997.22</v>
      </c>
      <c r="P114" s="17" t="s">
        <v>742</v>
      </c>
      <c r="Q114" s="17" t="s">
        <v>743</v>
      </c>
      <c r="R114" s="17" t="s">
        <v>49</v>
      </c>
      <c r="S114" s="17" t="s">
        <v>444</v>
      </c>
      <c r="T114" s="18">
        <v>46037</v>
      </c>
      <c r="U114" s="18" t="s">
        <v>744</v>
      </c>
      <c r="V114" s="17" t="s">
        <v>91</v>
      </c>
      <c r="W114" s="17" t="s">
        <v>452</v>
      </c>
      <c r="X114" s="17" t="s">
        <v>453</v>
      </c>
      <c r="Y114" s="17" t="s">
        <v>745</v>
      </c>
      <c r="Z114" s="17" t="s">
        <v>746</v>
      </c>
      <c r="AA114" s="17" t="s">
        <v>747</v>
      </c>
      <c r="AB114" s="17"/>
      <c r="AC114" s="17" t="s">
        <v>286</v>
      </c>
      <c r="AD114" s="17" t="s">
        <v>445</v>
      </c>
      <c r="AE114" s="17" t="s">
        <v>44</v>
      </c>
      <c r="AF114" s="17" t="s">
        <v>45</v>
      </c>
      <c r="AG114" s="17" t="s">
        <v>46</v>
      </c>
      <c r="AH114" s="17" t="s">
        <v>250</v>
      </c>
      <c r="AI114" s="17" t="s">
        <v>110</v>
      </c>
      <c r="AJ114" s="19">
        <v>8</v>
      </c>
      <c r="AK114" s="19">
        <v>0</v>
      </c>
      <c r="AL114" s="19">
        <v>0</v>
      </c>
      <c r="AM114" s="20">
        <v>2597.4312889061998</v>
      </c>
      <c r="AN114" s="20">
        <v>6974.63</v>
      </c>
      <c r="AO114" s="20">
        <v>20779.450311249599</v>
      </c>
      <c r="AP114" s="20">
        <v>55797.04</v>
      </c>
      <c r="AQ114" s="20">
        <v>55797.04</v>
      </c>
      <c r="AR114" s="20">
        <v>3905.79</v>
      </c>
      <c r="AS114" s="20">
        <v>0</v>
      </c>
      <c r="AT114" s="20">
        <v>0</v>
      </c>
      <c r="AU114" s="20">
        <v>0</v>
      </c>
      <c r="AV114" s="20">
        <v>0</v>
      </c>
      <c r="AW114" s="20">
        <v>0</v>
      </c>
      <c r="AX114" s="20"/>
      <c r="AY114" s="20"/>
      <c r="AZ114" s="20"/>
      <c r="BA114" s="20">
        <v>0</v>
      </c>
      <c r="BB114" s="20">
        <v>0</v>
      </c>
      <c r="BC114" s="20">
        <v>0</v>
      </c>
      <c r="BD114" s="20">
        <v>51891.25</v>
      </c>
      <c r="BE114" s="20">
        <v>337.29</v>
      </c>
      <c r="BF114" s="20">
        <v>0</v>
      </c>
      <c r="BG114" s="20">
        <v>51891.25</v>
      </c>
      <c r="BH114" s="20">
        <v>1556.74</v>
      </c>
      <c r="BI114" s="20">
        <v>0</v>
      </c>
      <c r="BJ114" s="20">
        <v>0</v>
      </c>
      <c r="BK114" s="20">
        <v>0</v>
      </c>
      <c r="BL114" s="17" t="s">
        <v>49</v>
      </c>
      <c r="BM114" s="17"/>
      <c r="BN114" s="17" t="s">
        <v>97</v>
      </c>
      <c r="BO114" s="17" t="s">
        <v>51</v>
      </c>
      <c r="BP114" s="17" t="s">
        <v>748</v>
      </c>
      <c r="BQ114" s="18">
        <v>46730</v>
      </c>
    </row>
    <row r="115" spans="1:69" x14ac:dyDescent="0.25">
      <c r="A115" s="11" t="str">
        <f>LEFT([1]!MOVIMENTACOES[[#This Row],[Código]],9)</f>
        <v>067004019</v>
      </c>
      <c r="B115" s="11" t="s">
        <v>749</v>
      </c>
      <c r="C115" s="11" t="str">
        <f>TRIM(IFERROR(LEFT([1]!MOVIMENTACOES[[#This Row],[Descrição]],SEARCH([1]!MOVIMENTACOES[[#This Row],[EMBALAGEM]],[1]!MOVIMENTACOES[[#This Row],[Descrição]],1)-1),[1]!MOVIMENTACOES[[#This Row],[Descrição]]))</f>
        <v>PDRN (POLYDEOXYRIBONUCLEOTIDE)</v>
      </c>
      <c r="D115" s="11" t="str">
        <f>_xlfn.CONCAT([1]!MOVIMENTACOES[[#This Row],[FABRICANTE]],[1]!MOVIMENTACOES[[#This Row],[DESCRIÇÃO SEM EMBALAGEM]],[1]!MOVIMENTACOES[[#This Row],[Coluna1]])</f>
        <v>CHEMAXCELPDRN (POLYDEOXYRIBONUCLEOTIDE)0,1</v>
      </c>
      <c r="E115" s="12">
        <f>_xlfn.XLOOKUP([1]!MOVIMENTACOES[[#This Row],[CONCAT]],'[2]PRICE LIST'!$G:$G,'[2]PRICE LIST'!$Q:$Q,"VERIFICAR",0,1)</f>
        <v>35371.350000000006</v>
      </c>
      <c r="F115" s="13">
        <f>_xlfn.XLOOKUP([1]!MOVIMENTACOES[[#This Row],[Data]],[1]PTAX!A:A,[1]PTAX!C:C,"VERIFICAR",0,1)*[1]!MOVIMENTACOES[[#This Row],[PREÇO DE LISTA DOLAR]]</f>
        <v>190439.34840000005</v>
      </c>
      <c r="G115" s="14">
        <f>[1]!MOVIMENTACOES[[#This Row],[PREÇO NET]]-[1]!MOVIMENTACOES[[#This Row],[PREÇO DE LISTA REAL]]</f>
        <v>-58765.048400000058</v>
      </c>
      <c r="H115" s="15">
        <f>-[1]!MOVIMENTACOES[[#This Row],[DESCONTO CONCEDIDO]]/[1]!MOVIMENTACOES[[#This Row],[PREÇO DE LISTA REAL]]</f>
        <v>0.3085761891842308</v>
      </c>
      <c r="I11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131674.29999999999</v>
      </c>
      <c r="J115" s="15">
        <f>VLOOKUP([1]!MOVIMENTACOES[[#This Row],[DESC %]],[1]!DESC[#Data],2,TRUE)</f>
        <v>2.5000000000000001E-3</v>
      </c>
      <c r="K115" s="15">
        <f>_xlfn.XLOOKUP([1]!MOVIMENTACOES[[#This Row],[NF-e]],'[1]PEDIDOS E COMISSOES'!A:A,'[1]PEDIDOS E COMISSOES'!E:E,"VERIFICAR",0,1)</f>
        <v>-1E-3</v>
      </c>
      <c r="L115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15" s="16">
        <f>[1]!MOVIMENTACOES[[#This Row],[COMISSÃO FINAL]]*([1]!MOVIMENTACOES[[#This Row],[PREÇO NET]]*[1]!MOVIMENTACOES[[#This Row],[Qtde]])</f>
        <v>19.751145000000001</v>
      </c>
      <c r="N115" s="14" t="str">
        <f>_xlfn.XLOOKUP(LEFT([1]!MOVIMENTACOES[[#This Row],[Código]],3),'[1]BASE DE FABRICANTES'!A:A,'[1]BASE DE FABRICANTES'!B:B,"VERIFICAR",0,1)</f>
        <v>CHEMAXCEL</v>
      </c>
      <c r="O115" s="14">
        <f>[1]!MOVIMENTACOES[[#This Row],[PREÇO NET]]*[1]!MOVIMENTACOES[[#This Row],[Qtde]]</f>
        <v>13167.43</v>
      </c>
      <c r="P115" s="3" t="s">
        <v>263</v>
      </c>
      <c r="Q115" s="3" t="s">
        <v>750</v>
      </c>
      <c r="R115" s="3" t="s">
        <v>49</v>
      </c>
      <c r="S115" s="3" t="s">
        <v>265</v>
      </c>
      <c r="T115" s="6">
        <v>46037</v>
      </c>
      <c r="U115" s="6" t="s">
        <v>751</v>
      </c>
      <c r="V115" s="3" t="s">
        <v>91</v>
      </c>
      <c r="W115" s="3"/>
      <c r="X115" s="3"/>
      <c r="Y115" s="3" t="s">
        <v>752</v>
      </c>
      <c r="Z115" s="3" t="s">
        <v>753</v>
      </c>
      <c r="AA115" s="3" t="s">
        <v>754</v>
      </c>
      <c r="AB115" s="3"/>
      <c r="AC115" s="3" t="s">
        <v>286</v>
      </c>
      <c r="AD115" s="3"/>
      <c r="AE115" s="3" t="s">
        <v>44</v>
      </c>
      <c r="AF115" s="3" t="s">
        <v>45</v>
      </c>
      <c r="AG115" s="3" t="s">
        <v>46</v>
      </c>
      <c r="AH115" s="3" t="s">
        <v>250</v>
      </c>
      <c r="AI115" s="3" t="s">
        <v>110</v>
      </c>
      <c r="AJ115" s="4">
        <v>0.1</v>
      </c>
      <c r="AK115" s="4">
        <v>0.5</v>
      </c>
      <c r="AL115" s="4">
        <v>0</v>
      </c>
      <c r="AM115" s="5">
        <v>92911.480576520393</v>
      </c>
      <c r="AN115" s="5">
        <v>146948.9</v>
      </c>
      <c r="AO115" s="5">
        <v>9291.1480576520407</v>
      </c>
      <c r="AP115" s="5">
        <v>14694.89</v>
      </c>
      <c r="AQ115" s="5">
        <v>14694.89</v>
      </c>
      <c r="AR115" s="5">
        <v>1028.6400000000001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/>
      <c r="AY115" s="5"/>
      <c r="AZ115" s="5"/>
      <c r="BA115" s="5">
        <v>0</v>
      </c>
      <c r="BB115" s="5">
        <v>0</v>
      </c>
      <c r="BC115" s="5">
        <v>0</v>
      </c>
      <c r="BD115" s="5">
        <v>13666.25</v>
      </c>
      <c r="BE115" s="5">
        <v>88.83</v>
      </c>
      <c r="BF115" s="5">
        <v>0</v>
      </c>
      <c r="BG115" s="5">
        <v>13666.25</v>
      </c>
      <c r="BH115" s="5">
        <v>409.99</v>
      </c>
      <c r="BI115" s="5">
        <v>0</v>
      </c>
      <c r="BJ115" s="5">
        <v>0</v>
      </c>
      <c r="BK115" s="5">
        <v>0</v>
      </c>
      <c r="BL115" s="3" t="s">
        <v>49</v>
      </c>
      <c r="BM115" s="3"/>
      <c r="BN115" s="3" t="s">
        <v>97</v>
      </c>
      <c r="BO115" s="3" t="s">
        <v>51</v>
      </c>
      <c r="BP115" s="3" t="s">
        <v>755</v>
      </c>
      <c r="BQ115" s="6">
        <v>46563</v>
      </c>
    </row>
    <row r="116" spans="1:69" x14ac:dyDescent="0.25">
      <c r="A116" s="11" t="str">
        <f>LEFT([1]!MOVIMENTACOES[[#This Row],[Código]],9)</f>
        <v>031004013</v>
      </c>
      <c r="B116" s="11" t="s">
        <v>149</v>
      </c>
      <c r="C116" s="11" t="str">
        <f>TRIM(IFERROR(LEFT([1]!MOVIMENTACOES[[#This Row],[Descrição]],SEARCH([1]!MOVIMENTACOES[[#This Row],[EMBALAGEM]],[1]!MOVIMENTACOES[[#This Row],[Descrição]],1)-1),[1]!MOVIMENTACOES[[#This Row],[Descrição]]))</f>
        <v>PIROCTONE OLAMINE</v>
      </c>
      <c r="D116" s="11" t="str">
        <f>_xlfn.CONCAT([1]!MOVIMENTACOES[[#This Row],[FABRICANTE]],[1]!MOVIMENTACOES[[#This Row],[DESCRIÇÃO SEM EMBALAGEM]],[1]!MOVIMENTACOES[[#This Row],[Coluna1]])</f>
        <v>KUMARPIROCTONE OLAMINE1</v>
      </c>
      <c r="E116" s="12">
        <f>_xlfn.XLOOKUP([1]!MOVIMENTACOES[[#This Row],[CONCAT]],'[2]PRICE LIST'!$G:$G,'[2]PRICE LIST'!$Q:$Q,"VERIFICAR",0,1)</f>
        <v>184.6</v>
      </c>
      <c r="F116" s="13">
        <f>_xlfn.XLOOKUP([1]!MOVIMENTACOES[[#This Row],[Data]],[1]PTAX!A:A,[1]PTAX!C:C,"VERIFICAR",0,1)*[1]!MOVIMENTACOES[[#This Row],[PREÇO DE LISTA DOLAR]]</f>
        <v>993.88639999999998</v>
      </c>
      <c r="G116" s="14">
        <f>[1]!MOVIMENTACOES[[#This Row],[PREÇO NET]]-[1]!MOVIMENTACOES[[#This Row],[PREÇO DE LISTA REAL]]</f>
        <v>-120.92306666666673</v>
      </c>
      <c r="H116" s="15">
        <f>-[1]!MOVIMENTACOES[[#This Row],[DESCONTO CONCEDIDO]]/[1]!MOVIMENTACOES[[#This Row],[PREÇO DE LISTA REAL]]</f>
        <v>0.121666889361467</v>
      </c>
      <c r="I11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872.96333333333325</v>
      </c>
      <c r="J116" s="15">
        <f>VLOOKUP([1]!MOVIMENTACOES[[#This Row],[DESC %]],[1]!DESC[#Data],2,TRUE)</f>
        <v>5.0000000000000001E-3</v>
      </c>
      <c r="K116" s="15">
        <f>_xlfn.XLOOKUP([1]!MOVIMENTACOES[[#This Row],[NF-e]],'[1]PEDIDOS E COMISSOES'!A:A,'[1]PEDIDOS E COMISSOES'!E:E,"VERIFICAR",0,1)</f>
        <v>-1E-3</v>
      </c>
      <c r="L116" s="15">
        <f>IF([1]!MOVIMENTACOES[[#This Row],[PERCENTUAL DE COMISSÕES]]+[1]!MOVIMENTACOES[[#This Row],[AJUSTE COMISSÃO]]&lt;0.06%,0.05%,[1]!MOVIMENTACOES[[#This Row],[PERCENTUAL DE COMISSÕES]]+[1]!MOVIMENTACOES[[#This Row],[AJUSTE COMISSÃO]])</f>
        <v>4.0000000000000001E-3</v>
      </c>
      <c r="M116" s="16">
        <f>[1]!MOVIMENTACOES[[#This Row],[COMISSÃO FINAL]]*([1]!MOVIMENTACOES[[#This Row],[PREÇO NET]]*[1]!MOVIMENTACOES[[#This Row],[Qtde]])</f>
        <v>10.47556</v>
      </c>
      <c r="N116" s="14" t="str">
        <f>_xlfn.XLOOKUP(LEFT([1]!MOVIMENTACOES[[#This Row],[Código]],3),'[1]BASE DE FABRICANTES'!A:A,'[1]BASE DE FABRICANTES'!B:B,"VERIFICAR",0,1)</f>
        <v>KUMAR</v>
      </c>
      <c r="O116" s="14">
        <f>[1]!MOVIMENTACOES[[#This Row],[PREÇO NET]]*[1]!MOVIMENTACOES[[#This Row],[Qtde]]</f>
        <v>2618.89</v>
      </c>
      <c r="P116" s="17" t="s">
        <v>756</v>
      </c>
      <c r="Q116" s="17" t="s">
        <v>757</v>
      </c>
      <c r="R116" s="17" t="s">
        <v>49</v>
      </c>
      <c r="S116" s="17" t="s">
        <v>667</v>
      </c>
      <c r="T116" s="18">
        <v>46037</v>
      </c>
      <c r="U116" s="18" t="s">
        <v>758</v>
      </c>
      <c r="V116" s="17" t="s">
        <v>91</v>
      </c>
      <c r="W116" s="17"/>
      <c r="X116" s="17"/>
      <c r="Y116" s="17" t="s">
        <v>759</v>
      </c>
      <c r="Z116" s="17" t="s">
        <v>760</v>
      </c>
      <c r="AA116" s="17" t="s">
        <v>761</v>
      </c>
      <c r="AB116" s="17"/>
      <c r="AC116" s="17" t="s">
        <v>286</v>
      </c>
      <c r="AD116" s="17"/>
      <c r="AE116" s="17" t="s">
        <v>44</v>
      </c>
      <c r="AF116" s="17" t="s">
        <v>45</v>
      </c>
      <c r="AG116" s="17" t="s">
        <v>46</v>
      </c>
      <c r="AH116" s="17" t="s">
        <v>250</v>
      </c>
      <c r="AI116" s="17" t="s">
        <v>110</v>
      </c>
      <c r="AJ116" s="19">
        <v>3</v>
      </c>
      <c r="AK116" s="19">
        <v>21</v>
      </c>
      <c r="AL116" s="19">
        <v>0</v>
      </c>
      <c r="AM116" s="20">
        <v>364.80160000000001</v>
      </c>
      <c r="AN116" s="20">
        <v>974.23</v>
      </c>
      <c r="AO116" s="20">
        <v>1094.4048</v>
      </c>
      <c r="AP116" s="20">
        <v>2922.69</v>
      </c>
      <c r="AQ116" s="20">
        <v>2922.69</v>
      </c>
      <c r="AR116" s="20">
        <v>204.59</v>
      </c>
      <c r="AS116" s="20">
        <v>0</v>
      </c>
      <c r="AT116" s="20">
        <v>0</v>
      </c>
      <c r="AU116" s="20">
        <v>0</v>
      </c>
      <c r="AV116" s="20">
        <v>0</v>
      </c>
      <c r="AW116" s="20">
        <v>0</v>
      </c>
      <c r="AX116" s="20"/>
      <c r="AY116" s="20"/>
      <c r="AZ116" s="20"/>
      <c r="BA116" s="20">
        <v>0</v>
      </c>
      <c r="BB116" s="20">
        <v>0</v>
      </c>
      <c r="BC116" s="20">
        <v>0</v>
      </c>
      <c r="BD116" s="20">
        <v>2718.1</v>
      </c>
      <c r="BE116" s="20">
        <v>17.670000000000002</v>
      </c>
      <c r="BF116" s="20">
        <v>0</v>
      </c>
      <c r="BG116" s="20">
        <v>2718.1</v>
      </c>
      <c r="BH116" s="20">
        <v>81.540000000000006</v>
      </c>
      <c r="BI116" s="20">
        <v>0</v>
      </c>
      <c r="BJ116" s="20">
        <v>0</v>
      </c>
      <c r="BK116" s="20">
        <v>0</v>
      </c>
      <c r="BL116" s="17" t="s">
        <v>49</v>
      </c>
      <c r="BM116" s="17"/>
      <c r="BN116" s="17" t="s">
        <v>97</v>
      </c>
      <c r="BO116" s="17" t="s">
        <v>51</v>
      </c>
      <c r="BP116" s="17" t="s">
        <v>672</v>
      </c>
      <c r="BQ116" s="18">
        <v>46843</v>
      </c>
    </row>
    <row r="117" spans="1:69" x14ac:dyDescent="0.25">
      <c r="A117" s="11" t="str">
        <f>LEFT([1]!MOVIMENTACOES[[#This Row],[Código]],9)</f>
        <v>066004001</v>
      </c>
      <c r="B117" s="11" t="s">
        <v>149</v>
      </c>
      <c r="C117" s="11" t="str">
        <f>TRIM(IFERROR(LEFT([1]!MOVIMENTACOES[[#This Row],[Descrição]],SEARCH([1]!MOVIMENTACOES[[#This Row],[EMBALAGEM]],[1]!MOVIMENTACOES[[#This Row],[Descrição]],1)-1),[1]!MOVIMENTACOES[[#This Row],[Descrição]]))</f>
        <v>SALICAP CSA</v>
      </c>
      <c r="D117" s="11" t="str">
        <f>_xlfn.CONCAT([1]!MOVIMENTACOES[[#This Row],[FABRICANTE]],[1]!MOVIMENTACOES[[#This Row],[DESCRIÇÃO SEM EMBALAGEM]],[1]!MOVIMENTACOES[[#This Row],[Coluna1]])</f>
        <v>SALICYLATESSALICAP CSA1</v>
      </c>
      <c r="E117" s="12">
        <f>_xlfn.XLOOKUP([1]!MOVIMENTACOES[[#This Row],[CONCAT]],'[2]PRICE LIST'!$G:$G,'[2]PRICE LIST'!$Q:$Q,"VERIFICAR",0,1)</f>
        <v>306.81818181818181</v>
      </c>
      <c r="F117" s="13">
        <f>_xlfn.XLOOKUP([1]!MOVIMENTACOES[[#This Row],[Data]],[1]PTAX!A:A,[1]PTAX!C:C,"VERIFICAR",0,1)*[1]!MOVIMENTACOES[[#This Row],[PREÇO DE LISTA DOLAR]]</f>
        <v>1651.909090909091</v>
      </c>
      <c r="G117" s="14">
        <f>[1]!MOVIMENTACOES[[#This Row],[PREÇO NET]]-[1]!MOVIMENTACOES[[#This Row],[PREÇO DE LISTA REAL]]</f>
        <v>-321.82909090909084</v>
      </c>
      <c r="H117" s="15">
        <f>-[1]!MOVIMENTACOES[[#This Row],[DESCONTO CONCEDIDO]]/[1]!MOVIMENTACOES[[#This Row],[PREÇO DE LISTA REAL]]</f>
        <v>0.19482251939904238</v>
      </c>
      <c r="I11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1330.0800000000002</v>
      </c>
      <c r="J117" s="15">
        <f>VLOOKUP([1]!MOVIMENTACOES[[#This Row],[DESC %]],[1]!DESC[#Data],2,TRUE)</f>
        <v>4.0000000000000001E-3</v>
      </c>
      <c r="K117" s="15">
        <f>_xlfn.XLOOKUP([1]!MOVIMENTACOES[[#This Row],[NF-e]],'[1]PEDIDOS E COMISSOES'!A:A,'[1]PEDIDOS E COMISSOES'!E:E,"VERIFICAR",0,1)</f>
        <v>-1E-3</v>
      </c>
      <c r="L117" s="15">
        <f>IF([1]!MOVIMENTACOES[[#This Row],[PERCENTUAL DE COMISSÕES]]+[1]!MOVIMENTACOES[[#This Row],[AJUSTE COMISSÃO]]&lt;0.06%,0.05%,[1]!MOVIMENTACOES[[#This Row],[PERCENTUAL DE COMISSÕES]]+[1]!MOVIMENTACOES[[#This Row],[AJUSTE COMISSÃO]])</f>
        <v>3.0000000000000001E-3</v>
      </c>
      <c r="M117" s="16">
        <f>[1]!MOVIMENTACOES[[#This Row],[COMISSÃO FINAL]]*([1]!MOVIMENTACOES[[#This Row],[PREÇO NET]]*[1]!MOVIMENTACOES[[#This Row],[Qtde]])</f>
        <v>7.9804800000000009</v>
      </c>
      <c r="N117" s="14" t="str">
        <f>_xlfn.XLOOKUP(LEFT([1]!MOVIMENTACOES[[#This Row],[Código]],3),'[1]BASE DE FABRICANTES'!A:A,'[1]BASE DE FABRICANTES'!B:B,"VERIFICAR",0,1)</f>
        <v>SALICYLATES</v>
      </c>
      <c r="O117" s="14">
        <f>[1]!MOVIMENTACOES[[#This Row],[PREÇO NET]]*[1]!MOVIMENTACOES[[#This Row],[Qtde]]</f>
        <v>2660.1600000000003</v>
      </c>
      <c r="P117" s="3" t="s">
        <v>726</v>
      </c>
      <c r="Q117" s="3" t="s">
        <v>727</v>
      </c>
      <c r="R117" s="3" t="s">
        <v>49</v>
      </c>
      <c r="S117" s="3" t="s">
        <v>728</v>
      </c>
      <c r="T117" s="6">
        <v>46037</v>
      </c>
      <c r="U117" s="6" t="s">
        <v>762</v>
      </c>
      <c r="V117" s="3" t="s">
        <v>91</v>
      </c>
      <c r="W117" s="3"/>
      <c r="X117" s="3"/>
      <c r="Y117" s="3" t="s">
        <v>763</v>
      </c>
      <c r="Z117" s="3" t="s">
        <v>764</v>
      </c>
      <c r="AA117" s="3" t="s">
        <v>765</v>
      </c>
      <c r="AB117" s="3"/>
      <c r="AC117" s="3" t="s">
        <v>286</v>
      </c>
      <c r="AD117" s="3" t="s">
        <v>734</v>
      </c>
      <c r="AE117" s="3" t="s">
        <v>44</v>
      </c>
      <c r="AF117" s="3" t="s">
        <v>45</v>
      </c>
      <c r="AG117" s="3" t="s">
        <v>46</v>
      </c>
      <c r="AH117" s="3" t="s">
        <v>250</v>
      </c>
      <c r="AI117" s="3" t="s">
        <v>110</v>
      </c>
      <c r="AJ117" s="4">
        <v>2</v>
      </c>
      <c r="AK117" s="4">
        <v>40</v>
      </c>
      <c r="AL117" s="4">
        <v>0</v>
      </c>
      <c r="AM117" s="5">
        <v>774.37200952379999</v>
      </c>
      <c r="AN117" s="5">
        <v>1437.99</v>
      </c>
      <c r="AO117" s="5">
        <v>1548.7440190476</v>
      </c>
      <c r="AP117" s="5">
        <v>2875.98</v>
      </c>
      <c r="AQ117" s="5">
        <v>2875.98</v>
      </c>
      <c r="AR117" s="5">
        <v>115.04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/>
      <c r="AY117" s="5"/>
      <c r="AZ117" s="5"/>
      <c r="BA117" s="5">
        <v>0</v>
      </c>
      <c r="BB117" s="5">
        <v>0</v>
      </c>
      <c r="BC117" s="5">
        <v>0</v>
      </c>
      <c r="BD117" s="5">
        <v>2760.94</v>
      </c>
      <c r="BE117" s="5">
        <v>17.95</v>
      </c>
      <c r="BF117" s="5">
        <v>0</v>
      </c>
      <c r="BG117" s="5">
        <v>2760.94</v>
      </c>
      <c r="BH117" s="5">
        <v>82.83</v>
      </c>
      <c r="BI117" s="5">
        <v>0</v>
      </c>
      <c r="BJ117" s="5">
        <v>0</v>
      </c>
      <c r="BK117" s="5">
        <v>0</v>
      </c>
      <c r="BL117" s="3" t="s">
        <v>49</v>
      </c>
      <c r="BM117" s="3"/>
      <c r="BN117" s="3" t="s">
        <v>97</v>
      </c>
      <c r="BO117" s="3" t="s">
        <v>51</v>
      </c>
      <c r="BP117" s="3" t="s">
        <v>736</v>
      </c>
      <c r="BQ117" s="6">
        <v>46418</v>
      </c>
    </row>
    <row r="118" spans="1:69" x14ac:dyDescent="0.25">
      <c r="A118" s="11" t="str">
        <f>LEFT([1]!MOVIMENTACOES[[#This Row],[Código]],9)</f>
        <v>001004017</v>
      </c>
      <c r="B118" s="11" t="s">
        <v>149</v>
      </c>
      <c r="C118" s="11" t="str">
        <f>TRIM(IFERROR(LEFT([1]!MOVIMENTACOES[[#This Row],[Descrição]],SEARCH([1]!MOVIMENTACOES[[#This Row],[EMBALAGEM]],[1]!MOVIMENTACOES[[#This Row],[Descrição]],1)-1),[1]!MOVIMENTACOES[[#This Row],[Descrição]]))</f>
        <v>DERMOCHLORELLA DP</v>
      </c>
      <c r="D118" s="11" t="str">
        <f>_xlfn.CONCAT([1]!MOVIMENTACOES[[#This Row],[FABRICANTE]],[1]!MOVIMENTACOES[[#This Row],[DESCRIÇÃO SEM EMBALAGEM]],[1]!MOVIMENTACOES[[#This Row],[Coluna1]])</f>
        <v>CODIFDERMOCHLORELLA DP1</v>
      </c>
      <c r="E118" s="12">
        <f>_xlfn.XLOOKUP([1]!MOVIMENTACOES[[#This Row],[CONCAT]],'[2]PRICE LIST'!$G:$G,'[2]PRICE LIST'!$Q:$Q,"VERIFICAR",0,1)</f>
        <v>479.37818953999988</v>
      </c>
      <c r="F118" s="13">
        <f>_xlfn.XLOOKUP([1]!MOVIMENTACOES[[#This Row],[Data]],[1]PTAX!A:A,[1]PTAX!C:C,"VERIFICAR",0,1)*[1]!MOVIMENTACOES[[#This Row],[PREÇO DE LISTA DOLAR]]</f>
        <v>2580.9721724833594</v>
      </c>
      <c r="G118" s="14">
        <f>[1]!MOVIMENTACOES[[#This Row],[PREÇO NET]]-[1]!MOVIMENTACOES[[#This Row],[PREÇO DE LISTA REAL]]</f>
        <v>-564.71217248335938</v>
      </c>
      <c r="H118" s="15">
        <f>-[1]!MOVIMENTACOES[[#This Row],[DESCONTO CONCEDIDO]]/[1]!MOVIMENTACOES[[#This Row],[PREÇO DE LISTA REAL]]</f>
        <v>0.21879824141614232</v>
      </c>
      <c r="I11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2016.26</v>
      </c>
      <c r="J118" s="15">
        <f>VLOOKUP([1]!MOVIMENTACOES[[#This Row],[DESC %]],[1]!DESC[#Data],2,TRUE)</f>
        <v>2.5000000000000001E-3</v>
      </c>
      <c r="K118" s="15">
        <f>_xlfn.XLOOKUP([1]!MOVIMENTACOES[[#This Row],[NF-e]],'[1]PEDIDOS E COMISSOES'!A:A,'[1]PEDIDOS E COMISSOES'!E:E,"VERIFICAR",0,1)</f>
        <v>-1E-3</v>
      </c>
      <c r="L118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18" s="16">
        <f>[1]!MOVIMENTACOES[[#This Row],[COMISSÃO FINAL]]*([1]!MOVIMENTACOES[[#This Row],[PREÇO NET]]*[1]!MOVIMENTACOES[[#This Row],[Qtde]])</f>
        <v>3.0243899999999999</v>
      </c>
      <c r="N118" s="14" t="str">
        <f>_xlfn.XLOOKUP(LEFT([1]!MOVIMENTACOES[[#This Row],[Código]],3),'[1]BASE DE FABRICANTES'!A:A,'[1]BASE DE FABRICANTES'!B:B,"VERIFICAR",0,1)</f>
        <v>CODIF</v>
      </c>
      <c r="O118" s="14">
        <f>[1]!MOVIMENTACOES[[#This Row],[PREÇO NET]]*[1]!MOVIMENTACOES[[#This Row],[Qtde]]</f>
        <v>2016.26</v>
      </c>
      <c r="P118" s="17" t="s">
        <v>766</v>
      </c>
      <c r="Q118" s="17" t="s">
        <v>767</v>
      </c>
      <c r="R118" s="17" t="s">
        <v>49</v>
      </c>
      <c r="S118" s="17" t="s">
        <v>120</v>
      </c>
      <c r="T118" s="18">
        <v>46037</v>
      </c>
      <c r="U118" s="18" t="s">
        <v>762</v>
      </c>
      <c r="V118" s="17" t="s">
        <v>91</v>
      </c>
      <c r="W118" s="17"/>
      <c r="X118" s="17"/>
      <c r="Y118" s="17" t="s">
        <v>763</v>
      </c>
      <c r="Z118" s="17" t="s">
        <v>764</v>
      </c>
      <c r="AA118" s="17" t="s">
        <v>765</v>
      </c>
      <c r="AB118" s="17"/>
      <c r="AC118" s="17" t="s">
        <v>286</v>
      </c>
      <c r="AD118" s="17" t="s">
        <v>125</v>
      </c>
      <c r="AE118" s="17" t="s">
        <v>44</v>
      </c>
      <c r="AF118" s="17" t="s">
        <v>45</v>
      </c>
      <c r="AG118" s="17" t="s">
        <v>46</v>
      </c>
      <c r="AH118" s="17" t="s">
        <v>250</v>
      </c>
      <c r="AI118" s="17" t="s">
        <v>110</v>
      </c>
      <c r="AJ118" s="19">
        <v>1</v>
      </c>
      <c r="AK118" s="19">
        <v>2</v>
      </c>
      <c r="AL118" s="19">
        <v>0</v>
      </c>
      <c r="AM118" s="20">
        <v>1078.071759312</v>
      </c>
      <c r="AN118" s="20">
        <v>2179.83</v>
      </c>
      <c r="AO118" s="20">
        <v>1078.071759312</v>
      </c>
      <c r="AP118" s="20">
        <v>2179.83</v>
      </c>
      <c r="AQ118" s="20">
        <v>2179.83</v>
      </c>
      <c r="AR118" s="20">
        <v>87.19</v>
      </c>
      <c r="AS118" s="20">
        <v>0</v>
      </c>
      <c r="AT118" s="20">
        <v>0</v>
      </c>
      <c r="AU118" s="20">
        <v>0</v>
      </c>
      <c r="AV118" s="20">
        <v>0</v>
      </c>
      <c r="AW118" s="20">
        <v>0</v>
      </c>
      <c r="AX118" s="20"/>
      <c r="AY118" s="20"/>
      <c r="AZ118" s="20"/>
      <c r="BA118" s="20">
        <v>0</v>
      </c>
      <c r="BB118" s="20">
        <v>0</v>
      </c>
      <c r="BC118" s="20">
        <v>0</v>
      </c>
      <c r="BD118" s="20">
        <v>2092.64</v>
      </c>
      <c r="BE118" s="20">
        <v>13.6</v>
      </c>
      <c r="BF118" s="20">
        <v>0</v>
      </c>
      <c r="BG118" s="20">
        <v>2092.64</v>
      </c>
      <c r="BH118" s="20">
        <v>62.78</v>
      </c>
      <c r="BI118" s="20">
        <v>0</v>
      </c>
      <c r="BJ118" s="20">
        <v>0</v>
      </c>
      <c r="BK118" s="20">
        <v>0</v>
      </c>
      <c r="BL118" s="17" t="s">
        <v>49</v>
      </c>
      <c r="BM118" s="17"/>
      <c r="BN118" s="17" t="s">
        <v>97</v>
      </c>
      <c r="BO118" s="17" t="s">
        <v>51</v>
      </c>
      <c r="BP118" s="17" t="s">
        <v>768</v>
      </c>
      <c r="BQ118" s="18">
        <v>46740</v>
      </c>
    </row>
    <row r="119" spans="1:69" x14ac:dyDescent="0.25">
      <c r="A119" s="11" t="str">
        <f>LEFT([1]!MOVIMENTACOES[[#This Row],[Código]],9)</f>
        <v>002004056</v>
      </c>
      <c r="B119" s="11" t="s">
        <v>149</v>
      </c>
      <c r="C119" s="11" t="str">
        <f>TRIM(IFERROR(LEFT([1]!MOVIMENTACOES[[#This Row],[Descrição]],SEARCH([1]!MOVIMENTACOES[[#This Row],[EMBALAGEM]],[1]!MOVIMENTACOES[[#This Row],[Descrição]],1)-1),[1]!MOVIMENTACOES[[#This Row],[Descrição]]))</f>
        <v>SC-GLUCAN</v>
      </c>
      <c r="D119" s="11" t="str">
        <f>_xlfn.CONCAT([1]!MOVIMENTACOES[[#This Row],[FABRICANTE]],[1]!MOVIMENTACOES[[#This Row],[DESCRIÇÃO SEM EMBALAGEM]],[1]!MOVIMENTACOES[[#This Row],[Coluna1]])</f>
        <v>BIOLANDSC-GLUCAN1</v>
      </c>
      <c r="E119" s="12">
        <f>_xlfn.XLOOKUP([1]!MOVIMENTACOES[[#This Row],[CONCAT]],'[2]PRICE LIST'!$G:$G,'[2]PRICE LIST'!$Q:$Q,"VERIFICAR",0,1)</f>
        <v>315.31240649999995</v>
      </c>
      <c r="F119" s="13">
        <f>_xlfn.XLOOKUP([1]!MOVIMENTACOES[[#This Row],[Data]],[1]PTAX!A:A,[1]PTAX!C:C,"VERIFICAR",0,1)*[1]!MOVIMENTACOES[[#This Row],[PREÇO DE LISTA DOLAR]]</f>
        <v>1697.6419965959999</v>
      </c>
      <c r="G119" s="14">
        <f>[1]!MOVIMENTACOES[[#This Row],[PREÇO NET]]-[1]!MOVIMENTACOES[[#This Row],[PREÇO DE LISTA REAL]]</f>
        <v>-384.02866326266644</v>
      </c>
      <c r="H119" s="15">
        <f>-[1]!MOVIMENTACOES[[#This Row],[DESCONTO CONCEDIDO]]/[1]!MOVIMENTACOES[[#This Row],[PREÇO DE LISTA REAL]]</f>
        <v>0.22621298485351768</v>
      </c>
      <c r="I11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1313.6133333333335</v>
      </c>
      <c r="J119" s="15">
        <f>VLOOKUP([1]!MOVIMENTACOES[[#This Row],[DESC %]],[1]!DESC[#Data],2,TRUE)</f>
        <v>2.5000000000000001E-3</v>
      </c>
      <c r="K119" s="15">
        <f>_xlfn.XLOOKUP([1]!MOVIMENTACOES[[#This Row],[NF-e]],'[1]PEDIDOS E COMISSOES'!A:A,'[1]PEDIDOS E COMISSOES'!E:E,"VERIFICAR",0,1)</f>
        <v>0</v>
      </c>
      <c r="L119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119" s="16">
        <f>[1]!MOVIMENTACOES[[#This Row],[COMISSÃO FINAL]]*([1]!MOVIMENTACOES[[#This Row],[PREÇO NET]]*[1]!MOVIMENTACOES[[#This Row],[Qtde]])</f>
        <v>9.8521000000000001</v>
      </c>
      <c r="N119" s="14" t="str">
        <f>_xlfn.XLOOKUP(LEFT([1]!MOVIMENTACOES[[#This Row],[Código]],3),'[1]BASE DE FABRICANTES'!A:A,'[1]BASE DE FABRICANTES'!B:B,"VERIFICAR",0,1)</f>
        <v>BIOLAND</v>
      </c>
      <c r="O119" s="14">
        <f>[1]!MOVIMENTACOES[[#This Row],[PREÇO NET]]*[1]!MOVIMENTACOES[[#This Row],[Qtde]]</f>
        <v>3940.84</v>
      </c>
      <c r="P119" s="3" t="s">
        <v>769</v>
      </c>
      <c r="Q119" s="3" t="s">
        <v>770</v>
      </c>
      <c r="R119" s="3" t="s">
        <v>49</v>
      </c>
      <c r="S119" s="3" t="s">
        <v>102</v>
      </c>
      <c r="T119" s="6">
        <v>46037</v>
      </c>
      <c r="U119" s="6" t="s">
        <v>706</v>
      </c>
      <c r="V119" s="3" t="s">
        <v>91</v>
      </c>
      <c r="W119" s="3"/>
      <c r="X119" s="3"/>
      <c r="Y119" s="3" t="s">
        <v>707</v>
      </c>
      <c r="Z119" s="3" t="s">
        <v>708</v>
      </c>
      <c r="AA119" s="3" t="s">
        <v>709</v>
      </c>
      <c r="AB119" s="3"/>
      <c r="AC119" s="3" t="s">
        <v>710</v>
      </c>
      <c r="AD119" s="3" t="s">
        <v>43</v>
      </c>
      <c r="AE119" s="3" t="s">
        <v>44</v>
      </c>
      <c r="AF119" s="3" t="s">
        <v>45</v>
      </c>
      <c r="AG119" s="3" t="s">
        <v>46</v>
      </c>
      <c r="AH119" s="3" t="s">
        <v>202</v>
      </c>
      <c r="AI119" s="3" t="s">
        <v>110</v>
      </c>
      <c r="AJ119" s="4">
        <v>3</v>
      </c>
      <c r="AK119" s="4">
        <v>1</v>
      </c>
      <c r="AL119" s="4">
        <v>0</v>
      </c>
      <c r="AM119" s="5">
        <v>353.09373333330001</v>
      </c>
      <c r="AN119" s="5">
        <v>1549.29</v>
      </c>
      <c r="AO119" s="5">
        <v>1059.2811999999001</v>
      </c>
      <c r="AP119" s="5">
        <v>4647.87</v>
      </c>
      <c r="AQ119" s="5">
        <v>4647.87</v>
      </c>
      <c r="AR119" s="5">
        <v>557.74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/>
      <c r="AY119" s="5"/>
      <c r="AZ119" s="5"/>
      <c r="BA119" s="5">
        <v>4647.87</v>
      </c>
      <c r="BB119" s="5">
        <v>151.06</v>
      </c>
      <c r="BC119" s="5">
        <v>0</v>
      </c>
      <c r="BD119" s="5">
        <v>4090.13</v>
      </c>
      <c r="BE119" s="5">
        <v>26.59</v>
      </c>
      <c r="BF119" s="5">
        <v>0</v>
      </c>
      <c r="BG119" s="5">
        <v>4090.13</v>
      </c>
      <c r="BH119" s="5">
        <v>122.7</v>
      </c>
      <c r="BI119" s="5">
        <v>0</v>
      </c>
      <c r="BJ119" s="5">
        <v>0</v>
      </c>
      <c r="BK119" s="5">
        <v>0</v>
      </c>
      <c r="BL119" s="3" t="s">
        <v>49</v>
      </c>
      <c r="BM119" s="3"/>
      <c r="BN119" s="3" t="s">
        <v>166</v>
      </c>
      <c r="BO119" s="3" t="s">
        <v>51</v>
      </c>
      <c r="BP119" s="3" t="s">
        <v>771</v>
      </c>
      <c r="BQ119" s="6">
        <v>46290</v>
      </c>
    </row>
    <row r="120" spans="1:69" x14ac:dyDescent="0.25">
      <c r="A120" s="11" t="str">
        <f>LEFT([1]!MOVIMENTACOES[[#This Row],[Código]],9)</f>
        <v>030004052</v>
      </c>
      <c r="B120" s="11" t="s">
        <v>650</v>
      </c>
      <c r="C120" s="11" t="str">
        <f>TRIM(IFERROR(LEFT([1]!MOVIMENTACOES[[#This Row],[Descrição]],SEARCH([1]!MOVIMENTACOES[[#This Row],[EMBALAGEM]],[1]!MOVIMENTACOES[[#This Row],[Descrição]],1)-1),[1]!MOVIMENTACOES[[#This Row],[Descrição]]))</f>
        <v>Y-POLYGLUTAMIC ACID (2000KDA) - HMW</v>
      </c>
      <c r="D120" s="11" t="str">
        <f>_xlfn.CONCAT([1]!MOVIMENTACOES[[#This Row],[FABRICANTE]],[1]!MOVIMENTACOES[[#This Row],[DESCRIÇÃO SEM EMBALAGEM]],[1]!MOVIMENTACOES[[#This Row],[Coluna1]])</f>
        <v>SPEC CHEMY-POLYGLUTAMIC ACID (2000KDA) - HMW0,5</v>
      </c>
      <c r="E120" s="21">
        <f>_xlfn.XLOOKUP([1]!MOVIMENTACOES[[#This Row],[CONCAT]],'[2]PRICE LIST'!$G:$G,'[2]PRICE LIST'!$Q:$Q,"VERIFICAR",0,1)</f>
        <v>1815.192</v>
      </c>
      <c r="F120" s="13">
        <f>_xlfn.XLOOKUP([1]!MOVIMENTACOES[[#This Row],[Data]],[1]PTAX!A:A,[1]PTAX!C:C,"VERIFICAR",0,1)*[1]!MOVIMENTACOES[[#This Row],[PREÇO DE LISTA DOLAR]]</f>
        <v>9772.9937280000013</v>
      </c>
      <c r="G120" s="14">
        <f>[1]!MOVIMENTACOES[[#This Row],[PREÇO NET]]-[1]!MOVIMENTACOES[[#This Row],[PREÇO DE LISTA REAL]]</f>
        <v>-1072.2103946666666</v>
      </c>
      <c r="H120" s="15">
        <f>-[1]!MOVIMENTACOES[[#This Row],[DESCONTO CONCEDIDO]]/[1]!MOVIMENTACOES[[#This Row],[PREÇO DE LISTA REAL]]</f>
        <v>0.1097115607057787</v>
      </c>
      <c r="I12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8700.7833333333347</v>
      </c>
      <c r="J120" s="15">
        <f>VLOOKUP([1]!MOVIMENTACOES[[#This Row],[DESC %]],[1]!DESC[#Data],2,TRUE)</f>
        <v>5.0000000000000001E-3</v>
      </c>
      <c r="K120" s="15">
        <f>_xlfn.XLOOKUP([1]!MOVIMENTACOES[[#This Row],[NF-e]],'[1]PEDIDOS E COMISSOES'!A:A,'[1]PEDIDOS E COMISSOES'!E:E,"VERIFICAR",0,1)</f>
        <v>-1E-3</v>
      </c>
      <c r="L120" s="15">
        <f>IF([1]!MOVIMENTACOES[[#This Row],[PERCENTUAL DE COMISSÕES]]+[1]!MOVIMENTACOES[[#This Row],[AJUSTE COMISSÃO]]&lt;0.06%,0.05%,[1]!MOVIMENTACOES[[#This Row],[PERCENTUAL DE COMISSÕES]]+[1]!MOVIMENTACOES[[#This Row],[AJUSTE COMISSÃO]])</f>
        <v>4.0000000000000001E-3</v>
      </c>
      <c r="M120" s="16">
        <f>[1]!MOVIMENTACOES[[#This Row],[COMISSÃO FINAL]]*([1]!MOVIMENTACOES[[#This Row],[PREÇO NET]]*[1]!MOVIMENTACOES[[#This Row],[Qtde]])</f>
        <v>104.40940000000002</v>
      </c>
      <c r="N120" s="14" t="str">
        <f>_xlfn.XLOOKUP(LEFT([1]!MOVIMENTACOES[[#This Row],[Código]],3),'[1]BASE DE FABRICANTES'!A:A,'[1]BASE DE FABRICANTES'!B:B,"VERIFICAR",0,1)</f>
        <v>SPEC CHEM</v>
      </c>
      <c r="O120" s="14">
        <f>[1]!MOVIMENTACOES[[#This Row],[PREÇO NET]]*[1]!MOVIMENTACOES[[#This Row],[Qtde]]</f>
        <v>26102.350000000006</v>
      </c>
      <c r="P120" s="17" t="s">
        <v>772</v>
      </c>
      <c r="Q120" s="17" t="s">
        <v>773</v>
      </c>
      <c r="R120" s="17" t="s">
        <v>49</v>
      </c>
      <c r="S120" s="17" t="s">
        <v>102</v>
      </c>
      <c r="T120" s="18">
        <v>46037</v>
      </c>
      <c r="U120" s="18" t="s">
        <v>762</v>
      </c>
      <c r="V120" s="17" t="s">
        <v>91</v>
      </c>
      <c r="W120" s="17"/>
      <c r="X120" s="17"/>
      <c r="Y120" s="17" t="s">
        <v>763</v>
      </c>
      <c r="Z120" s="17" t="s">
        <v>764</v>
      </c>
      <c r="AA120" s="17" t="s">
        <v>765</v>
      </c>
      <c r="AB120" s="17"/>
      <c r="AC120" s="17" t="s">
        <v>286</v>
      </c>
      <c r="AD120" s="17" t="s">
        <v>165</v>
      </c>
      <c r="AE120" s="17" t="s">
        <v>44</v>
      </c>
      <c r="AF120" s="17" t="s">
        <v>45</v>
      </c>
      <c r="AG120" s="17" t="s">
        <v>46</v>
      </c>
      <c r="AH120" s="17" t="s">
        <v>250</v>
      </c>
      <c r="AI120" s="17" t="s">
        <v>110</v>
      </c>
      <c r="AJ120" s="19">
        <v>3</v>
      </c>
      <c r="AK120" s="19">
        <v>3.5</v>
      </c>
      <c r="AL120" s="19">
        <v>0</v>
      </c>
      <c r="AM120" s="20">
        <v>3396.6828541181999</v>
      </c>
      <c r="AN120" s="20">
        <v>9710.1</v>
      </c>
      <c r="AO120" s="20">
        <v>10190.048562354599</v>
      </c>
      <c r="AP120" s="20">
        <v>29130.3</v>
      </c>
      <c r="AQ120" s="20">
        <v>29130.3</v>
      </c>
      <c r="AR120" s="20">
        <v>2039.12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/>
      <c r="AY120" s="20"/>
      <c r="AZ120" s="20"/>
      <c r="BA120" s="20">
        <v>29130.3</v>
      </c>
      <c r="BB120" s="20">
        <v>946.73</v>
      </c>
      <c r="BC120" s="20">
        <v>0</v>
      </c>
      <c r="BD120" s="20">
        <v>27091.18</v>
      </c>
      <c r="BE120" s="20">
        <v>176.09</v>
      </c>
      <c r="BF120" s="20">
        <v>0</v>
      </c>
      <c r="BG120" s="20">
        <v>27091.18</v>
      </c>
      <c r="BH120" s="20">
        <v>812.74</v>
      </c>
      <c r="BI120" s="20">
        <v>0</v>
      </c>
      <c r="BJ120" s="20">
        <v>0</v>
      </c>
      <c r="BK120" s="20">
        <v>0</v>
      </c>
      <c r="BL120" s="17" t="s">
        <v>49</v>
      </c>
      <c r="BM120" s="17"/>
      <c r="BN120" s="17" t="s">
        <v>97</v>
      </c>
      <c r="BO120" s="17" t="s">
        <v>51</v>
      </c>
      <c r="BP120" s="17" t="s">
        <v>774</v>
      </c>
      <c r="BQ120" s="18">
        <v>46539</v>
      </c>
    </row>
    <row r="121" spans="1:69" x14ac:dyDescent="0.25">
      <c r="A121" s="11" t="str">
        <f>LEFT([1]!MOVIMENTACOES[[#This Row],[Código]],9)</f>
        <v>030004003</v>
      </c>
      <c r="B121" s="11" t="s">
        <v>149</v>
      </c>
      <c r="C121" s="11" t="str">
        <f>TRIM(IFERROR(LEFT([1]!MOVIMENTACOES[[#This Row],[Descrição]],SEARCH([1]!MOVIMENTACOES[[#This Row],[EMBALAGEM]],[1]!MOVIMENTACOES[[#This Row],[Descrição]],1)-1),[1]!MOVIMENTACOES[[#This Row],[Descrição]]))</f>
        <v>KOJIC ACID</v>
      </c>
      <c r="D121" s="11" t="str">
        <f>_xlfn.CONCAT([1]!MOVIMENTACOES[[#This Row],[FABRICANTE]],[1]!MOVIMENTACOES[[#This Row],[DESCRIÇÃO SEM EMBALAGEM]],[1]!MOVIMENTACOES[[#This Row],[Coluna1]])</f>
        <v>SPEC CHEMKOJIC ACID1</v>
      </c>
      <c r="E121" s="12">
        <f>_xlfn.XLOOKUP([1]!MOVIMENTACOES[[#This Row],[CONCAT]],'[2]PRICE LIST'!$G:$G,'[2]PRICE LIST'!$Q:$Q,"VERIFICAR",0,1)</f>
        <v>96.2</v>
      </c>
      <c r="F121" s="13">
        <f>_xlfn.XLOOKUP([1]!MOVIMENTACOES[[#This Row],[Data]],[1]PTAX!A:A,[1]PTAX!C:C,"VERIFICAR",0,1)*[1]!MOVIMENTACOES[[#This Row],[PREÇO DE LISTA DOLAR]]</f>
        <v>517.94080000000008</v>
      </c>
      <c r="G121" s="14">
        <f>[1]!MOVIMENTACOES[[#This Row],[PREÇO NET]]-[1]!MOVIMENTACOES[[#This Row],[PREÇO DE LISTA REAL]]</f>
        <v>18.88919999999996</v>
      </c>
      <c r="H121" s="15">
        <f>-[1]!MOVIMENTACOES[[#This Row],[DESCONTO CONCEDIDO]]/[1]!MOVIMENTACOES[[#This Row],[PREÇO DE LISTA REAL]]</f>
        <v>-3.6469805043356222E-2</v>
      </c>
      <c r="I12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536.83000000000004</v>
      </c>
      <c r="J121" s="15">
        <f>VLOOKUP([1]!MOVIMENTACOES[[#This Row],[DESC %]],[1]!DESC[#Data],2,TRUE)</f>
        <v>0.01</v>
      </c>
      <c r="K121" s="15">
        <f>_xlfn.XLOOKUP([1]!MOVIMENTACOES[[#This Row],[NF-e]],'[1]PEDIDOS E COMISSOES'!A:A,'[1]PEDIDOS E COMISSOES'!E:E,"VERIFICAR",0,1)</f>
        <v>0</v>
      </c>
      <c r="L121" s="15">
        <f>IF([1]!MOVIMENTACOES[[#This Row],[PERCENTUAL DE COMISSÕES]]+[1]!MOVIMENTACOES[[#This Row],[AJUSTE COMISSÃO]]&lt;0.06%,0.05%,[1]!MOVIMENTACOES[[#This Row],[PERCENTUAL DE COMISSÕES]]+[1]!MOVIMENTACOES[[#This Row],[AJUSTE COMISSÃO]])</f>
        <v>0.01</v>
      </c>
      <c r="M121" s="16">
        <f>[1]!MOVIMENTACOES[[#This Row],[COMISSÃO FINAL]]*([1]!MOVIMENTACOES[[#This Row],[PREÇO NET]]*[1]!MOVIMENTACOES[[#This Row],[Qtde]])</f>
        <v>5.3683000000000005</v>
      </c>
      <c r="N121" s="14" t="str">
        <f>_xlfn.XLOOKUP(LEFT([1]!MOVIMENTACOES[[#This Row],[Código]],3),'[1]BASE DE FABRICANTES'!A:A,'[1]BASE DE FABRICANTES'!B:B,"VERIFICAR",0,1)</f>
        <v>SPEC CHEM</v>
      </c>
      <c r="O121" s="14">
        <f>[1]!MOVIMENTACOES[[#This Row],[PREÇO NET]]*[1]!MOVIMENTACOES[[#This Row],[Qtde]]</f>
        <v>536.83000000000004</v>
      </c>
      <c r="P121" s="3" t="s">
        <v>673</v>
      </c>
      <c r="Q121" s="3" t="s">
        <v>674</v>
      </c>
      <c r="R121" s="3" t="s">
        <v>49</v>
      </c>
      <c r="S121" s="3" t="s">
        <v>564</v>
      </c>
      <c r="T121" s="6">
        <v>46037</v>
      </c>
      <c r="U121" s="6" t="s">
        <v>775</v>
      </c>
      <c r="V121" s="3" t="s">
        <v>91</v>
      </c>
      <c r="W121" s="3"/>
      <c r="X121" s="3"/>
      <c r="Y121" s="3" t="s">
        <v>776</v>
      </c>
      <c r="Z121" s="3" t="s">
        <v>777</v>
      </c>
      <c r="AA121" s="3" t="s">
        <v>778</v>
      </c>
      <c r="AB121" s="3"/>
      <c r="AC121" s="3" t="s">
        <v>779</v>
      </c>
      <c r="AD121" s="3" t="s">
        <v>165</v>
      </c>
      <c r="AE121" s="3" t="s">
        <v>44</v>
      </c>
      <c r="AF121" s="3" t="s">
        <v>45</v>
      </c>
      <c r="AG121" s="3" t="s">
        <v>46</v>
      </c>
      <c r="AH121" s="3" t="s">
        <v>47</v>
      </c>
      <c r="AI121" s="3" t="s">
        <v>48</v>
      </c>
      <c r="AJ121" s="4">
        <v>1</v>
      </c>
      <c r="AK121" s="4">
        <v>67</v>
      </c>
      <c r="AL121" s="4">
        <v>0</v>
      </c>
      <c r="AM121" s="5">
        <v>153.5224824771</v>
      </c>
      <c r="AN121" s="5">
        <v>679.48</v>
      </c>
      <c r="AO121" s="5">
        <v>153.5224824771</v>
      </c>
      <c r="AP121" s="5">
        <v>679.48</v>
      </c>
      <c r="AQ121" s="5">
        <v>679.48</v>
      </c>
      <c r="AR121" s="5">
        <v>122.31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/>
      <c r="AY121" s="5"/>
      <c r="AZ121" s="5"/>
      <c r="BA121" s="5">
        <v>0</v>
      </c>
      <c r="BB121" s="5">
        <v>0</v>
      </c>
      <c r="BC121" s="5">
        <v>0</v>
      </c>
      <c r="BD121" s="5">
        <v>557.16999999999996</v>
      </c>
      <c r="BE121" s="5">
        <v>3.62</v>
      </c>
      <c r="BF121" s="5">
        <v>0</v>
      </c>
      <c r="BG121" s="5">
        <v>557.16999999999996</v>
      </c>
      <c r="BH121" s="5">
        <v>16.72</v>
      </c>
      <c r="BI121" s="5">
        <v>0</v>
      </c>
      <c r="BJ121" s="5">
        <v>0</v>
      </c>
      <c r="BK121" s="5">
        <v>0</v>
      </c>
      <c r="BL121" s="3" t="s">
        <v>49</v>
      </c>
      <c r="BM121" s="3"/>
      <c r="BN121" s="3" t="s">
        <v>166</v>
      </c>
      <c r="BO121" s="3" t="s">
        <v>51</v>
      </c>
      <c r="BP121" s="3" t="s">
        <v>679</v>
      </c>
      <c r="BQ121" s="6">
        <v>46516</v>
      </c>
    </row>
    <row r="122" spans="1:69" x14ac:dyDescent="0.25">
      <c r="A122" s="11" t="str">
        <f>LEFT([1]!MOVIMENTACOES[[#This Row],[Código]],9)</f>
        <v>090004029</v>
      </c>
      <c r="B122" s="11" t="s">
        <v>149</v>
      </c>
      <c r="C122" s="11" t="str">
        <f>TRIM(IFERROR(LEFT([1]!MOVIMENTACOES[[#This Row],[Descrição]],SEARCH([1]!MOVIMENTACOES[[#This Row],[EMBALAGEM]],[1]!MOVIMENTACOES[[#This Row],[Descrição]],1)-1),[1]!MOVIMENTACOES[[#This Row],[Descrição]]))</f>
        <v>WKPEP SALAREGEN S</v>
      </c>
      <c r="D122" s="11" t="str">
        <f>_xlfn.CONCAT([1]!MOVIMENTACOES[[#This Row],[FABRICANTE]],[1]!MOVIMENTACOES[[#This Row],[DESCRIÇÃO SEM EMBALAGEM]],[1]!MOVIMENTACOES[[#This Row],[Coluna1]])</f>
        <v>WINKEYWKPEP SALAREGEN S1</v>
      </c>
      <c r="E122" s="12">
        <f>_xlfn.XLOOKUP([1]!MOVIMENTACOES[[#This Row],[CONCAT]],'[2]PRICE LIST'!$G:$G,'[2]PRICE LIST'!$Q:$Q,"VERIFICAR",0,1)</f>
        <v>1587.9853333333335</v>
      </c>
      <c r="F122" s="13">
        <f>_xlfn.XLOOKUP([1]!MOVIMENTACOES[[#This Row],[Data]],[1]PTAX!A:A,[1]PTAX!C:C,"VERIFICAR",0,1)*[1]!MOVIMENTACOES[[#This Row],[PREÇO DE LISTA DOLAR]]</f>
        <v>8549.713034666669</v>
      </c>
      <c r="G122" s="14">
        <f>[1]!MOVIMENTACOES[[#This Row],[PREÇO NET]]-[1]!MOVIMENTACOES[[#This Row],[PREÇO DE LISTA REAL]]</f>
        <v>-3249.1930346666695</v>
      </c>
      <c r="H122" s="15">
        <f>-[1]!MOVIMENTACOES[[#This Row],[DESCONTO CONCEDIDO]]/[1]!MOVIMENTACOES[[#This Row],[PREÇO DE LISTA REAL]]</f>
        <v>0.3800353323546779</v>
      </c>
      <c r="I12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5300.5199999999995</v>
      </c>
      <c r="J122" s="15">
        <f>VLOOKUP([1]!MOVIMENTACOES[[#This Row],[DESC %]],[1]!DESC[#Data],2,TRUE)</f>
        <v>2.5000000000000001E-3</v>
      </c>
      <c r="K122" s="15">
        <f>_xlfn.XLOOKUP([1]!MOVIMENTACOES[[#This Row],[NF-e]],'[1]PEDIDOS E COMISSOES'!A:A,'[1]PEDIDOS E COMISSOES'!E:E,"VERIFICAR",0,1)</f>
        <v>-1E-3</v>
      </c>
      <c r="L122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22" s="16">
        <f>[1]!MOVIMENTACOES[[#This Row],[COMISSÃO FINAL]]*([1]!MOVIMENTACOES[[#This Row],[PREÇO NET]]*[1]!MOVIMENTACOES[[#This Row],[Qtde]])</f>
        <v>15.901559999999998</v>
      </c>
      <c r="N122" s="14" t="str">
        <f>_xlfn.XLOOKUP(LEFT([1]!MOVIMENTACOES[[#This Row],[Código]],3),'[1]BASE DE FABRICANTES'!A:A,'[1]BASE DE FABRICANTES'!B:B,"VERIFICAR",0,1)</f>
        <v>WINKEY</v>
      </c>
      <c r="O122" s="14">
        <f>[1]!MOVIMENTACOES[[#This Row],[PREÇO NET]]*[1]!MOVIMENTACOES[[#This Row],[Qtde]]</f>
        <v>10601.039999999999</v>
      </c>
      <c r="P122" s="17" t="s">
        <v>780</v>
      </c>
      <c r="Q122" s="17" t="s">
        <v>781</v>
      </c>
      <c r="R122" s="17" t="s">
        <v>49</v>
      </c>
      <c r="S122" s="17" t="s">
        <v>444</v>
      </c>
      <c r="T122" s="18">
        <v>46037</v>
      </c>
      <c r="U122" s="18" t="s">
        <v>758</v>
      </c>
      <c r="V122" s="17" t="s">
        <v>91</v>
      </c>
      <c r="W122" s="17"/>
      <c r="X122" s="17"/>
      <c r="Y122" s="17" t="s">
        <v>759</v>
      </c>
      <c r="Z122" s="17" t="s">
        <v>760</v>
      </c>
      <c r="AA122" s="17" t="s">
        <v>761</v>
      </c>
      <c r="AB122" s="17"/>
      <c r="AC122" s="17" t="s">
        <v>286</v>
      </c>
      <c r="AD122" s="17" t="s">
        <v>445</v>
      </c>
      <c r="AE122" s="17" t="s">
        <v>44</v>
      </c>
      <c r="AF122" s="17" t="s">
        <v>45</v>
      </c>
      <c r="AG122" s="17" t="s">
        <v>46</v>
      </c>
      <c r="AH122" s="17" t="s">
        <v>250</v>
      </c>
      <c r="AI122" s="17" t="s">
        <v>110</v>
      </c>
      <c r="AJ122" s="19">
        <v>2</v>
      </c>
      <c r="AK122" s="19">
        <v>0</v>
      </c>
      <c r="AL122" s="19">
        <v>0</v>
      </c>
      <c r="AM122" s="20">
        <v>2604.2723475610001</v>
      </c>
      <c r="AN122" s="20">
        <v>5915.4</v>
      </c>
      <c r="AO122" s="20">
        <v>5208.5446951220001</v>
      </c>
      <c r="AP122" s="20">
        <v>11830.8</v>
      </c>
      <c r="AQ122" s="20">
        <v>11830.8</v>
      </c>
      <c r="AR122" s="20">
        <v>828.16</v>
      </c>
      <c r="AS122" s="20">
        <v>0</v>
      </c>
      <c r="AT122" s="20">
        <v>0</v>
      </c>
      <c r="AU122" s="20">
        <v>0</v>
      </c>
      <c r="AV122" s="20">
        <v>0</v>
      </c>
      <c r="AW122" s="20">
        <v>0</v>
      </c>
      <c r="AX122" s="20"/>
      <c r="AY122" s="20"/>
      <c r="AZ122" s="20"/>
      <c r="BA122" s="20">
        <v>0</v>
      </c>
      <c r="BB122" s="20">
        <v>0</v>
      </c>
      <c r="BC122" s="20">
        <v>0</v>
      </c>
      <c r="BD122" s="20">
        <v>11002.64</v>
      </c>
      <c r="BE122" s="20">
        <v>71.52</v>
      </c>
      <c r="BF122" s="20">
        <v>0</v>
      </c>
      <c r="BG122" s="20">
        <v>11002.64</v>
      </c>
      <c r="BH122" s="20">
        <v>330.08</v>
      </c>
      <c r="BI122" s="20">
        <v>0</v>
      </c>
      <c r="BJ122" s="20">
        <v>0</v>
      </c>
      <c r="BK122" s="20">
        <v>0</v>
      </c>
      <c r="BL122" s="17" t="s">
        <v>49</v>
      </c>
      <c r="BM122" s="17"/>
      <c r="BN122" s="17" t="s">
        <v>97</v>
      </c>
      <c r="BO122" s="17" t="s">
        <v>51</v>
      </c>
      <c r="BP122" s="17" t="s">
        <v>782</v>
      </c>
      <c r="BQ122" s="18">
        <v>46591</v>
      </c>
    </row>
    <row r="123" spans="1:69" x14ac:dyDescent="0.25">
      <c r="A123" s="11" t="str">
        <f>LEFT([1]!MOVIMENTACOES[[#This Row],[Código]],9)</f>
        <v>030004005</v>
      </c>
      <c r="B123" s="11" t="s">
        <v>149</v>
      </c>
      <c r="C123" s="11" t="str">
        <f>TRIM(IFERROR(LEFT([1]!MOVIMENTACOES[[#This Row],[Descrição]],SEARCH([1]!MOVIMENTACOES[[#This Row],[EMBALAGEM]],[1]!MOVIMENTACOES[[#This Row],[Descrição]],1)-1),[1]!MOVIMENTACOES[[#This Row],[Descrição]]))</f>
        <v>ALPHA ARBUTIN</v>
      </c>
      <c r="D123" s="11" t="str">
        <f>_xlfn.CONCAT([1]!MOVIMENTACOES[[#This Row],[FABRICANTE]],[1]!MOVIMENTACOES[[#This Row],[DESCRIÇÃO SEM EMBALAGEM]],[1]!MOVIMENTACOES[[#This Row],[Coluna1]])</f>
        <v>SPEC CHEMALPHA ARBUTIN1</v>
      </c>
      <c r="E123" s="12">
        <f>_xlfn.XLOOKUP([1]!MOVIMENTACOES[[#This Row],[CONCAT]],'[2]PRICE LIST'!$G:$G,'[2]PRICE LIST'!$Q:$Q,"VERIFICAR",0,1)</f>
        <v>592.63625000000002</v>
      </c>
      <c r="F123" s="13">
        <f>_xlfn.XLOOKUP([1]!MOVIMENTACOES[[#This Row],[Data]],[1]PTAX!A:A,[1]PTAX!C:C,"VERIFICAR",0,1)*[1]!MOVIMENTACOES[[#This Row],[PREÇO DE LISTA DOLAR]]</f>
        <v>3190.7535700000003</v>
      </c>
      <c r="G123" s="14">
        <f>[1]!MOVIMENTACOES[[#This Row],[PREÇO NET]]-[1]!MOVIMENTACOES[[#This Row],[PREÇO DE LISTA REAL]]</f>
        <v>-1146.0635700000005</v>
      </c>
      <c r="H123" s="15">
        <f>-[1]!MOVIMENTACOES[[#This Row],[DESCONTO CONCEDIDO]]/[1]!MOVIMENTACOES[[#This Row],[PREÇO DE LISTA REAL]]</f>
        <v>0.35918272748340146</v>
      </c>
      <c r="I12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2044.6899999999998</v>
      </c>
      <c r="J123" s="15">
        <f>VLOOKUP([1]!MOVIMENTACOES[[#This Row],[DESC %]],[1]!DESC[#Data],2,TRUE)</f>
        <v>2.5000000000000001E-3</v>
      </c>
      <c r="K123" s="15">
        <f>_xlfn.XLOOKUP([1]!MOVIMENTACOES[[#This Row],[NF-e]],'[1]PEDIDOS E COMISSOES'!A:A,'[1]PEDIDOS E COMISSOES'!E:E,"VERIFICAR",0,1)</f>
        <v>0</v>
      </c>
      <c r="L123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123" s="16">
        <f>[1]!MOVIMENTACOES[[#This Row],[COMISSÃO FINAL]]*([1]!MOVIMENTACOES[[#This Row],[PREÇO NET]]*[1]!MOVIMENTACOES[[#This Row],[Qtde]])</f>
        <v>5.1117249999999999</v>
      </c>
      <c r="N123" s="14" t="str">
        <f>_xlfn.XLOOKUP(LEFT([1]!MOVIMENTACOES[[#This Row],[Código]],3),'[1]BASE DE FABRICANTES'!A:A,'[1]BASE DE FABRICANTES'!B:B,"VERIFICAR",0,1)</f>
        <v>SPEC CHEM</v>
      </c>
      <c r="O123" s="14">
        <f>[1]!MOVIMENTACOES[[#This Row],[PREÇO NET]]*[1]!MOVIMENTACOES[[#This Row],[Qtde]]</f>
        <v>2044.6899999999998</v>
      </c>
      <c r="P123" s="3" t="s">
        <v>783</v>
      </c>
      <c r="Q123" s="3" t="s">
        <v>784</v>
      </c>
      <c r="R123" s="3" t="s">
        <v>49</v>
      </c>
      <c r="S123" s="3" t="s">
        <v>785</v>
      </c>
      <c r="T123" s="6">
        <v>46037</v>
      </c>
      <c r="U123" s="6" t="s">
        <v>721</v>
      </c>
      <c r="V123" s="3" t="s">
        <v>91</v>
      </c>
      <c r="W123" s="3"/>
      <c r="X123" s="3"/>
      <c r="Y123" s="3" t="s">
        <v>722</v>
      </c>
      <c r="Z123" s="3" t="s">
        <v>723</v>
      </c>
      <c r="AA123" s="3" t="s">
        <v>724</v>
      </c>
      <c r="AB123" s="3"/>
      <c r="AC123" s="3" t="s">
        <v>725</v>
      </c>
      <c r="AD123" s="3" t="s">
        <v>165</v>
      </c>
      <c r="AE123" s="3" t="s">
        <v>44</v>
      </c>
      <c r="AF123" s="3" t="s">
        <v>45</v>
      </c>
      <c r="AG123" s="3" t="s">
        <v>46</v>
      </c>
      <c r="AH123" s="3" t="s">
        <v>202</v>
      </c>
      <c r="AI123" s="3" t="s">
        <v>110</v>
      </c>
      <c r="AJ123" s="4">
        <v>1</v>
      </c>
      <c r="AK123" s="4">
        <v>74</v>
      </c>
      <c r="AL123" s="4">
        <v>0</v>
      </c>
      <c r="AM123" s="5">
        <v>952.98924543420003</v>
      </c>
      <c r="AN123" s="5">
        <v>2411.52</v>
      </c>
      <c r="AO123" s="5">
        <v>952.98924543420003</v>
      </c>
      <c r="AP123" s="5">
        <v>2411.52</v>
      </c>
      <c r="AQ123" s="5">
        <v>2411.52</v>
      </c>
      <c r="AR123" s="5">
        <v>289.38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/>
      <c r="AY123" s="5"/>
      <c r="AZ123" s="5"/>
      <c r="BA123" s="5">
        <v>0</v>
      </c>
      <c r="BB123" s="5">
        <v>0</v>
      </c>
      <c r="BC123" s="5">
        <v>0</v>
      </c>
      <c r="BD123" s="5">
        <v>2122.14</v>
      </c>
      <c r="BE123" s="5">
        <v>13.79</v>
      </c>
      <c r="BF123" s="5">
        <v>0</v>
      </c>
      <c r="BG123" s="5">
        <v>2122.14</v>
      </c>
      <c r="BH123" s="5">
        <v>63.66</v>
      </c>
      <c r="BI123" s="5">
        <v>0</v>
      </c>
      <c r="BJ123" s="5">
        <v>0</v>
      </c>
      <c r="BK123" s="5">
        <v>0</v>
      </c>
      <c r="BL123" s="3" t="s">
        <v>49</v>
      </c>
      <c r="BM123" s="3"/>
      <c r="BN123" s="3" t="s">
        <v>166</v>
      </c>
      <c r="BO123" s="3" t="s">
        <v>51</v>
      </c>
      <c r="BP123" s="3" t="s">
        <v>786</v>
      </c>
      <c r="BQ123" s="6">
        <v>46478</v>
      </c>
    </row>
    <row r="124" spans="1:69" x14ac:dyDescent="0.25">
      <c r="A124" s="11" t="str">
        <f>LEFT([1]!MOVIMENTACOES[[#This Row],[Código]],9)</f>
        <v>066004001</v>
      </c>
      <c r="B124" s="11" t="s">
        <v>149</v>
      </c>
      <c r="C124" s="11" t="str">
        <f>TRIM(IFERROR(LEFT([1]!MOVIMENTACOES[[#This Row],[Descrição]],SEARCH([1]!MOVIMENTACOES[[#This Row],[EMBALAGEM]],[1]!MOVIMENTACOES[[#This Row],[Descrição]],1)-1),[1]!MOVIMENTACOES[[#This Row],[Descrição]]))</f>
        <v>SALICAP CSA</v>
      </c>
      <c r="D124" s="11" t="str">
        <f>_xlfn.CONCAT([1]!MOVIMENTACOES[[#This Row],[FABRICANTE]],[1]!MOVIMENTACOES[[#This Row],[DESCRIÇÃO SEM EMBALAGEM]],[1]!MOVIMENTACOES[[#This Row],[Coluna1]])</f>
        <v>SALICYLATESSALICAP CSA1</v>
      </c>
      <c r="E124" s="12">
        <f>_xlfn.XLOOKUP([1]!MOVIMENTACOES[[#This Row],[CONCAT]],'[2]PRICE LIST'!$G:$G,'[2]PRICE LIST'!$Q:$Q,"VERIFICAR",0,1)</f>
        <v>306.81818181818181</v>
      </c>
      <c r="F124" s="13">
        <f>_xlfn.XLOOKUP([1]!MOVIMENTACOES[[#This Row],[Data]],[1]PTAX!A:A,[1]PTAX!C:C,"VERIFICAR",0,1)*[1]!MOVIMENTACOES[[#This Row],[PREÇO DE LISTA DOLAR]]</f>
        <v>1650.4363636363637</v>
      </c>
      <c r="G124" s="14">
        <f>[1]!MOVIMENTACOES[[#This Row],[PREÇO NET]]-[1]!MOVIMENTACOES[[#This Row],[PREÇO DE LISTA REAL]]</f>
        <v>-239.40036363636386</v>
      </c>
      <c r="H124" s="15">
        <f>-[1]!MOVIMENTACOES[[#This Row],[DESCONTO CONCEDIDO]]/[1]!MOVIMENTACOES[[#This Row],[PREÇO DE LISTA REAL]]</f>
        <v>0.14505276841386314</v>
      </c>
      <c r="I12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1411.0359999999998</v>
      </c>
      <c r="J124" s="15">
        <f>VLOOKUP([1]!MOVIMENTACOES[[#This Row],[DESC %]],[1]!DESC[#Data],2,TRUE)</f>
        <v>5.0000000000000001E-3</v>
      </c>
      <c r="K124" s="15">
        <f>_xlfn.XLOOKUP([1]!MOVIMENTACOES[[#This Row],[NF-e]],'[1]PEDIDOS E COMISSOES'!A:A,'[1]PEDIDOS E COMISSOES'!E:E,"VERIFICAR",0,1)</f>
        <v>-1.5E-3</v>
      </c>
      <c r="L124" s="15">
        <f>IF([1]!MOVIMENTACOES[[#This Row],[PERCENTUAL DE COMISSÕES]]+[1]!MOVIMENTACOES[[#This Row],[AJUSTE COMISSÃO]]&lt;0.06%,0.05%,[1]!MOVIMENTACOES[[#This Row],[PERCENTUAL DE COMISSÕES]]+[1]!MOVIMENTACOES[[#This Row],[AJUSTE COMISSÃO]])</f>
        <v>3.5000000000000001E-3</v>
      </c>
      <c r="M124" s="16">
        <f>[1]!MOVIMENTACOES[[#This Row],[COMISSÃO FINAL]]*([1]!MOVIMENTACOES[[#This Row],[PREÇO NET]]*[1]!MOVIMENTACOES[[#This Row],[Qtde]])</f>
        <v>24.69313</v>
      </c>
      <c r="N124" s="14" t="str">
        <f>_xlfn.XLOOKUP(LEFT([1]!MOVIMENTACOES[[#This Row],[Código]],3),'[1]BASE DE FABRICANTES'!A:A,'[1]BASE DE FABRICANTES'!B:B,"VERIFICAR",0,1)</f>
        <v>SALICYLATES</v>
      </c>
      <c r="O124" s="14">
        <f>[1]!MOVIMENTACOES[[#This Row],[PREÇO NET]]*[1]!MOVIMENTACOES[[#This Row],[Qtde]]</f>
        <v>7055.1799999999994</v>
      </c>
      <c r="P124" s="17" t="s">
        <v>726</v>
      </c>
      <c r="Q124" s="17" t="s">
        <v>727</v>
      </c>
      <c r="R124" s="17" t="s">
        <v>49</v>
      </c>
      <c r="S124" s="17" t="s">
        <v>728</v>
      </c>
      <c r="T124" s="18">
        <v>46038</v>
      </c>
      <c r="U124" s="18" t="s">
        <v>787</v>
      </c>
      <c r="V124" s="17" t="s">
        <v>91</v>
      </c>
      <c r="W124" s="17"/>
      <c r="X124" s="17"/>
      <c r="Y124" s="17" t="s">
        <v>788</v>
      </c>
      <c r="Z124" s="17" t="s">
        <v>789</v>
      </c>
      <c r="AA124" s="17" t="s">
        <v>790</v>
      </c>
      <c r="AB124" s="17"/>
      <c r="AC124" s="17" t="s">
        <v>791</v>
      </c>
      <c r="AD124" s="17" t="s">
        <v>734</v>
      </c>
      <c r="AE124" s="17" t="s">
        <v>44</v>
      </c>
      <c r="AF124" s="17" t="s">
        <v>45</v>
      </c>
      <c r="AG124" s="17" t="s">
        <v>46</v>
      </c>
      <c r="AH124" s="17" t="s">
        <v>116</v>
      </c>
      <c r="AI124" s="17" t="s">
        <v>360</v>
      </c>
      <c r="AJ124" s="19">
        <v>5</v>
      </c>
      <c r="AK124" s="19">
        <v>34</v>
      </c>
      <c r="AL124" s="19">
        <v>0</v>
      </c>
      <c r="AM124" s="20">
        <v>774.37200952379999</v>
      </c>
      <c r="AN124" s="20">
        <v>1525.51</v>
      </c>
      <c r="AO124" s="20">
        <v>3871.8600476189999</v>
      </c>
      <c r="AP124" s="20">
        <v>7627.55</v>
      </c>
      <c r="AQ124" s="20">
        <v>7627.55</v>
      </c>
      <c r="AR124" s="20">
        <v>305.10000000000002</v>
      </c>
      <c r="AS124" s="20">
        <v>0</v>
      </c>
      <c r="AT124" s="20">
        <v>0</v>
      </c>
      <c r="AU124" s="20">
        <v>0</v>
      </c>
      <c r="AV124" s="20">
        <v>0</v>
      </c>
      <c r="AW124" s="20">
        <v>0</v>
      </c>
      <c r="AX124" s="20"/>
      <c r="AY124" s="20"/>
      <c r="AZ124" s="20"/>
      <c r="BA124" s="20">
        <v>0</v>
      </c>
      <c r="BB124" s="20">
        <v>0</v>
      </c>
      <c r="BC124" s="20">
        <v>0</v>
      </c>
      <c r="BD124" s="20">
        <v>7322.45</v>
      </c>
      <c r="BE124" s="20">
        <v>47.6</v>
      </c>
      <c r="BF124" s="20">
        <v>0</v>
      </c>
      <c r="BG124" s="20">
        <v>7322.45</v>
      </c>
      <c r="BH124" s="20">
        <v>219.67</v>
      </c>
      <c r="BI124" s="20">
        <v>0</v>
      </c>
      <c r="BJ124" s="20">
        <v>0</v>
      </c>
      <c r="BK124" s="20">
        <v>0</v>
      </c>
      <c r="BL124" s="17" t="s">
        <v>49</v>
      </c>
      <c r="BM124" s="17"/>
      <c r="BN124" s="17" t="s">
        <v>97</v>
      </c>
      <c r="BO124" s="17" t="s">
        <v>51</v>
      </c>
      <c r="BP124" s="17" t="s">
        <v>792</v>
      </c>
      <c r="BQ124" s="18">
        <v>46660</v>
      </c>
    </row>
    <row r="125" spans="1:69" x14ac:dyDescent="0.25">
      <c r="A125" s="11" t="str">
        <f>LEFT([1]!MOVIMENTACOES[[#This Row],[Código]],9)</f>
        <v>030004015</v>
      </c>
      <c r="B125" s="11" t="s">
        <v>204</v>
      </c>
      <c r="C125" s="11" t="str">
        <f>TRIM(IFERROR(LEFT([1]!MOVIMENTACOES[[#This Row],[Descrição]],SEARCH([1]!MOVIMENTACOES[[#This Row],[EMBALAGEM]],[1]!MOVIMENTACOES[[#This Row],[Descrição]],1)-1),[1]!MOVIMENTACOES[[#This Row],[Descrição]]))</f>
        <v>GLYCOLIC ACID 70%</v>
      </c>
      <c r="D125" s="11" t="str">
        <f>_xlfn.CONCAT([1]!MOVIMENTACOES[[#This Row],[FABRICANTE]],[1]!MOVIMENTACOES[[#This Row],[DESCRIÇÃO SEM EMBALAGEM]],[1]!MOVIMENTACOES[[#This Row],[Coluna1]])</f>
        <v>SPEC CHEMGLYCOLIC ACID 70%25</v>
      </c>
      <c r="E125" s="12">
        <f>_xlfn.XLOOKUP([1]!MOVIMENTACOES[[#This Row],[CONCAT]],'[2]PRICE LIST'!$G:$G,'[2]PRICE LIST'!$Q:$Q,"VERIFICAR",0,1)</f>
        <v>15.08</v>
      </c>
      <c r="F125" s="13">
        <f>_xlfn.XLOOKUP([1]!MOVIMENTACOES[[#This Row],[Data]],[1]PTAX!A:A,[1]PTAX!C:C,"VERIFICAR",0,1)*[1]!MOVIMENTACOES[[#This Row],[PREÇO DE LISTA DOLAR]]</f>
        <v>81.118335999999999</v>
      </c>
      <c r="G125" s="14">
        <f>[1]!MOVIMENTACOES[[#This Row],[PREÇO NET]]-[1]!MOVIMENTACOES[[#This Row],[PREÇO DE LISTA REAL]]</f>
        <v>-1.0447360000000003</v>
      </c>
      <c r="H125" s="15">
        <f>-[1]!MOVIMENTACOES[[#This Row],[DESCONTO CONCEDIDO]]/[1]!MOVIMENTACOES[[#This Row],[PREÇO DE LISTA REAL]]</f>
        <v>1.2879159651401137E-2</v>
      </c>
      <c r="I12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80.073599999999999</v>
      </c>
      <c r="J125" s="15">
        <f>VLOOKUP([1]!MOVIMENTACOES[[#This Row],[DESC %]],[1]!DESC[#Data],2,TRUE)</f>
        <v>8.9999999999999993E-3</v>
      </c>
      <c r="K125" s="15">
        <f>_xlfn.XLOOKUP([1]!MOVIMENTACOES[[#This Row],[NF-e]],'[1]PEDIDOS E COMISSOES'!A:A,'[1]PEDIDOS E COMISSOES'!E:E,"VERIFICAR",0,1)</f>
        <v>2E-3</v>
      </c>
      <c r="L125" s="15">
        <f>IF([1]!MOVIMENTACOES[[#This Row],[PERCENTUAL DE COMISSÕES]]+[1]!MOVIMENTACOES[[#This Row],[AJUSTE COMISSÃO]]&lt;0.06%,0.05%,[1]!MOVIMENTACOES[[#This Row],[PERCENTUAL DE COMISSÕES]]+[1]!MOVIMENTACOES[[#This Row],[AJUSTE COMISSÃO]])</f>
        <v>1.0999999999999999E-2</v>
      </c>
      <c r="M125" s="16">
        <f>[1]!MOVIMENTACOES[[#This Row],[COMISSÃO FINAL]]*([1]!MOVIMENTACOES[[#This Row],[PREÇO NET]]*[1]!MOVIMENTACOES[[#This Row],[Qtde]])</f>
        <v>44.040479999999995</v>
      </c>
      <c r="N125" s="14" t="str">
        <f>_xlfn.XLOOKUP(LEFT([1]!MOVIMENTACOES[[#This Row],[Código]],3),'[1]BASE DE FABRICANTES'!A:A,'[1]BASE DE FABRICANTES'!B:B,"VERIFICAR",0,1)</f>
        <v>SPEC CHEM</v>
      </c>
      <c r="O125" s="14">
        <f>[1]!MOVIMENTACOES[[#This Row],[PREÇO NET]]*[1]!MOVIMENTACOES[[#This Row],[Qtde]]</f>
        <v>4003.68</v>
      </c>
      <c r="P125" s="3" t="s">
        <v>541</v>
      </c>
      <c r="Q125" s="3" t="s">
        <v>578</v>
      </c>
      <c r="R125" s="3" t="s">
        <v>49</v>
      </c>
      <c r="S125" s="3" t="s">
        <v>543</v>
      </c>
      <c r="T125" s="6">
        <v>46038</v>
      </c>
      <c r="U125" s="6" t="s">
        <v>793</v>
      </c>
      <c r="V125" s="3" t="s">
        <v>91</v>
      </c>
      <c r="W125" s="3"/>
      <c r="X125" s="3"/>
      <c r="Y125" s="3" t="s">
        <v>794</v>
      </c>
      <c r="Z125" s="3" t="s">
        <v>795</v>
      </c>
      <c r="AA125" s="3" t="s">
        <v>796</v>
      </c>
      <c r="AB125" s="3"/>
      <c r="AC125" s="3" t="s">
        <v>797</v>
      </c>
      <c r="AD125" s="3"/>
      <c r="AE125" s="3" t="s">
        <v>44</v>
      </c>
      <c r="AF125" s="3" t="s">
        <v>45</v>
      </c>
      <c r="AG125" s="3" t="s">
        <v>46</v>
      </c>
      <c r="AH125" s="3" t="s">
        <v>47</v>
      </c>
      <c r="AI125" s="3" t="s">
        <v>48</v>
      </c>
      <c r="AJ125" s="4">
        <v>50</v>
      </c>
      <c r="AK125" s="4">
        <v>325</v>
      </c>
      <c r="AL125" s="4">
        <v>0</v>
      </c>
      <c r="AM125" s="5">
        <v>28.347066666700002</v>
      </c>
      <c r="AN125" s="5">
        <v>101.35</v>
      </c>
      <c r="AO125" s="5">
        <v>1417.3533333349999</v>
      </c>
      <c r="AP125" s="5">
        <v>5067.5</v>
      </c>
      <c r="AQ125" s="5">
        <v>5067.5</v>
      </c>
      <c r="AR125" s="5">
        <v>912.15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/>
      <c r="AY125" s="5"/>
      <c r="AZ125" s="5"/>
      <c r="BA125" s="5">
        <v>0</v>
      </c>
      <c r="BB125" s="5">
        <v>0</v>
      </c>
      <c r="BC125" s="5">
        <v>0</v>
      </c>
      <c r="BD125" s="5">
        <v>4155.3500000000004</v>
      </c>
      <c r="BE125" s="5">
        <v>27.01</v>
      </c>
      <c r="BF125" s="5">
        <v>0</v>
      </c>
      <c r="BG125" s="5">
        <v>4155.3500000000004</v>
      </c>
      <c r="BH125" s="5">
        <v>124.66</v>
      </c>
      <c r="BI125" s="5">
        <v>0</v>
      </c>
      <c r="BJ125" s="5">
        <v>0</v>
      </c>
      <c r="BK125" s="5">
        <v>0</v>
      </c>
      <c r="BL125" s="3" t="s">
        <v>49</v>
      </c>
      <c r="BM125" s="3"/>
      <c r="BN125" s="3" t="s">
        <v>97</v>
      </c>
      <c r="BO125" s="3" t="s">
        <v>51</v>
      </c>
      <c r="BP125" s="3" t="s">
        <v>549</v>
      </c>
      <c r="BQ125" s="6">
        <v>46515</v>
      </c>
    </row>
    <row r="126" spans="1:69" x14ac:dyDescent="0.25">
      <c r="A126" s="11" t="str">
        <f>LEFT([1]!MOVIMENTACOES[[#This Row],[Código]],9)</f>
        <v>001004057</v>
      </c>
      <c r="B126" s="11" t="s">
        <v>149</v>
      </c>
      <c r="C126" s="11" t="str">
        <f>TRIM(IFERROR(LEFT([1]!MOVIMENTACOES[[#This Row],[Descrição]],SEARCH([1]!MOVIMENTACOES[[#This Row],[EMBALAGEM]],[1]!MOVIMENTACOES[[#This Row],[Descrição]],1)-1),[1]!MOVIMENTACOES[[#This Row],[Descrição]]))</f>
        <v>SCOPARIANE P</v>
      </c>
      <c r="D126" s="11" t="str">
        <f>_xlfn.CONCAT([1]!MOVIMENTACOES[[#This Row],[FABRICANTE]],[1]!MOVIMENTACOES[[#This Row],[DESCRIÇÃO SEM EMBALAGEM]],[1]!MOVIMENTACOES[[#This Row],[Coluna1]])</f>
        <v>CODIFSCOPARIANE P1</v>
      </c>
      <c r="E126" s="12">
        <f>_xlfn.XLOOKUP([1]!MOVIMENTACOES[[#This Row],[CONCAT]],'[2]PRICE LIST'!$G:$G,'[2]PRICE LIST'!$Q:$Q,"VERIFICAR",0,1)</f>
        <v>244.98250681999997</v>
      </c>
      <c r="F126" s="13">
        <f>_xlfn.XLOOKUP([1]!MOVIMENTACOES[[#This Row],[Data]],[1]PTAX!A:A,[1]PTAX!C:C,"VERIFICAR",0,1)*[1]!MOVIMENTACOES[[#This Row],[PREÇO DE LISTA DOLAR]]</f>
        <v>1317.8099006861439</v>
      </c>
      <c r="G126" s="14">
        <f>[1]!MOVIMENTACOES[[#This Row],[PREÇO NET]]-[1]!MOVIMENTACOES[[#This Row],[PREÇO DE LISTA REAL]]</f>
        <v>302.47009931385605</v>
      </c>
      <c r="H126" s="15">
        <f>-[1]!MOVIMENTACOES[[#This Row],[DESCONTO CONCEDIDO]]/[1]!MOVIMENTACOES[[#This Row],[PREÇO DE LISTA REAL]]</f>
        <v>-0.22952483446692046</v>
      </c>
      <c r="I12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1620.28</v>
      </c>
      <c r="J126" s="15">
        <f>VLOOKUP([1]!MOVIMENTACOES[[#This Row],[DESC %]],[1]!DESC[#Data],2,TRUE)</f>
        <v>0.01</v>
      </c>
      <c r="K126" s="15">
        <f>_xlfn.XLOOKUP([1]!MOVIMENTACOES[[#This Row],[NF-e]],'[1]PEDIDOS E COMISSOES'!A:A,'[1]PEDIDOS E COMISSOES'!E:E,"VERIFICAR",0,1)</f>
        <v>2E-3</v>
      </c>
      <c r="L126" s="15">
        <f>IF([1]!MOVIMENTACOES[[#This Row],[PERCENTUAL DE COMISSÕES]]+[1]!MOVIMENTACOES[[#This Row],[AJUSTE COMISSÃO]]&lt;0.06%,0.05%,[1]!MOVIMENTACOES[[#This Row],[PERCENTUAL DE COMISSÕES]]+[1]!MOVIMENTACOES[[#This Row],[AJUSTE COMISSÃO]])</f>
        <v>1.2E-2</v>
      </c>
      <c r="M126" s="16">
        <f>[1]!MOVIMENTACOES[[#This Row],[COMISSÃO FINAL]]*([1]!MOVIMENTACOES[[#This Row],[PREÇO NET]]*[1]!MOVIMENTACOES[[#This Row],[Qtde]])</f>
        <v>19.443359999999998</v>
      </c>
      <c r="N126" s="14" t="str">
        <f>_xlfn.XLOOKUP(LEFT([1]!MOVIMENTACOES[[#This Row],[Código]],3),'[1]BASE DE FABRICANTES'!A:A,'[1]BASE DE FABRICANTES'!B:B,"VERIFICAR",0,1)</f>
        <v>CODIF</v>
      </c>
      <c r="O126" s="14">
        <f>[1]!MOVIMENTACOES[[#This Row],[PREÇO NET]]*[1]!MOVIMENTACOES[[#This Row],[Qtde]]</f>
        <v>1620.28</v>
      </c>
      <c r="P126" s="17" t="s">
        <v>798</v>
      </c>
      <c r="Q126" s="17" t="s">
        <v>799</v>
      </c>
      <c r="R126" s="17" t="s">
        <v>49</v>
      </c>
      <c r="S126" s="17" t="s">
        <v>120</v>
      </c>
      <c r="T126" s="18">
        <v>46038</v>
      </c>
      <c r="U126" s="18" t="s">
        <v>800</v>
      </c>
      <c r="V126" s="17" t="s">
        <v>91</v>
      </c>
      <c r="W126" s="17"/>
      <c r="X126" s="17"/>
      <c r="Y126" s="17" t="s">
        <v>801</v>
      </c>
      <c r="Z126" s="17" t="s">
        <v>802</v>
      </c>
      <c r="AA126" s="17" t="s">
        <v>803</v>
      </c>
      <c r="AB126" s="17"/>
      <c r="AC126" s="17" t="s">
        <v>804</v>
      </c>
      <c r="AD126" s="17"/>
      <c r="AE126" s="17" t="s">
        <v>44</v>
      </c>
      <c r="AF126" s="17" t="s">
        <v>45</v>
      </c>
      <c r="AG126" s="17" t="s">
        <v>46</v>
      </c>
      <c r="AH126" s="17" t="s">
        <v>339</v>
      </c>
      <c r="AI126" s="17" t="s">
        <v>110</v>
      </c>
      <c r="AJ126" s="19">
        <v>1</v>
      </c>
      <c r="AK126" s="19">
        <v>2</v>
      </c>
      <c r="AL126" s="19">
        <v>0</v>
      </c>
      <c r="AM126" s="20">
        <v>508.06900000000002</v>
      </c>
      <c r="AN126" s="20">
        <v>1751.73</v>
      </c>
      <c r="AO126" s="20">
        <v>508.06900000000002</v>
      </c>
      <c r="AP126" s="20">
        <v>1751.73</v>
      </c>
      <c r="AQ126" s="20">
        <v>1751.73</v>
      </c>
      <c r="AR126" s="20">
        <v>70.069999999999993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/>
      <c r="AY126" s="20"/>
      <c r="AZ126" s="20"/>
      <c r="BA126" s="20">
        <v>0</v>
      </c>
      <c r="BB126" s="20">
        <v>0</v>
      </c>
      <c r="BC126" s="20">
        <v>0</v>
      </c>
      <c r="BD126" s="20">
        <v>1681.66</v>
      </c>
      <c r="BE126" s="20">
        <v>10.93</v>
      </c>
      <c r="BF126" s="20">
        <v>0</v>
      </c>
      <c r="BG126" s="20">
        <v>1681.66</v>
      </c>
      <c r="BH126" s="20">
        <v>50.45</v>
      </c>
      <c r="BI126" s="20">
        <v>0</v>
      </c>
      <c r="BJ126" s="20">
        <v>0</v>
      </c>
      <c r="BK126" s="20">
        <v>0</v>
      </c>
      <c r="BL126" s="17" t="s">
        <v>49</v>
      </c>
      <c r="BM126" s="17"/>
      <c r="BN126" s="17" t="s">
        <v>50</v>
      </c>
      <c r="BO126" s="17" t="s">
        <v>51</v>
      </c>
      <c r="BP126" s="17" t="s">
        <v>805</v>
      </c>
      <c r="BQ126" s="18">
        <v>46831</v>
      </c>
    </row>
    <row r="127" spans="1:69" x14ac:dyDescent="0.25">
      <c r="A127" s="11" t="str">
        <f>LEFT([1]!MOVIMENTACOES[[#This Row],[Código]],9)</f>
        <v>007002009</v>
      </c>
      <c r="B127" s="11" t="s">
        <v>86</v>
      </c>
      <c r="C127" s="11" t="str">
        <f>TRIM(IFERROR(LEFT([1]!MOVIMENTACOES[[#This Row],[Descrição]],SEARCH([1]!MOVIMENTACOES[[#This Row],[EMBALAGEM]],[1]!MOVIMENTACOES[[#This Row],[Descrição]],1)-1),[1]!MOVIMENTACOES[[#This Row],[Descrição]]))</f>
        <v>NATUROIL TRADITION COTTON</v>
      </c>
      <c r="D127" s="11" t="str">
        <f>_xlfn.CONCAT([1]!MOVIMENTACOES[[#This Row],[FABRICANTE]],[1]!MOVIMENTACOES[[#This Row],[DESCRIÇÃO SEM EMBALAGEM]],[1]!MOVIMENTACOES[[#This Row],[Coluna1]])</f>
        <v>MPRNATUROIL TRADITION COTTON20</v>
      </c>
      <c r="E127" s="22">
        <v>7.75</v>
      </c>
      <c r="F127" s="13">
        <f>_xlfn.XLOOKUP([1]!MOVIMENTACOES[[#This Row],[Data]],[1]PTAX!A:A,[1]PTAX!C:C,"VERIFICAR",0,1)*[1]!MOVIMENTACOES[[#This Row],[PREÇO DE LISTA DOLAR]]</f>
        <v>41.688800000000001</v>
      </c>
      <c r="G127" s="14">
        <f>[1]!MOVIMENTACOES[[#This Row],[PREÇO NET]]-[1]!MOVIMENTACOES[[#This Row],[PREÇO DE LISTA REAL]]</f>
        <v>18.341199999999994</v>
      </c>
      <c r="H127" s="15">
        <f>-[1]!MOVIMENTACOES[[#This Row],[DESCONTO CONCEDIDO]]/[1]!MOVIMENTACOES[[#This Row],[PREÇO DE LISTA REAL]]</f>
        <v>-0.43995509585308268</v>
      </c>
      <c r="I12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60.029999999999994</v>
      </c>
      <c r="J127" s="15">
        <f>VLOOKUP([1]!MOVIMENTACOES[[#This Row],[DESC %]],[1]!DESC[#Data],2,TRUE)</f>
        <v>0.01</v>
      </c>
      <c r="K127" s="15">
        <f>_xlfn.XLOOKUP([1]!MOVIMENTACOES[[#This Row],[NF-e]],'[1]PEDIDOS E COMISSOES'!A:A,'[1]PEDIDOS E COMISSOES'!E:E,"VERIFICAR",0,1)</f>
        <v>2E-3</v>
      </c>
      <c r="L127" s="15">
        <f>IF([1]!MOVIMENTACOES[[#This Row],[PERCENTUAL DE COMISSÕES]]+[1]!MOVIMENTACOES[[#This Row],[AJUSTE COMISSÃO]]&lt;0.06%,0.05%,[1]!MOVIMENTACOES[[#This Row],[PERCENTUAL DE COMISSÕES]]+[1]!MOVIMENTACOES[[#This Row],[AJUSTE COMISSÃO]])</f>
        <v>1.2E-2</v>
      </c>
      <c r="M127" s="16">
        <f>[1]!MOVIMENTACOES[[#This Row],[COMISSÃO FINAL]]*([1]!MOVIMENTACOES[[#This Row],[PREÇO NET]]*[1]!MOVIMENTACOES[[#This Row],[Qtde]])</f>
        <v>14.4072</v>
      </c>
      <c r="N127" s="14" t="str">
        <f>_xlfn.XLOOKUP(LEFT([1]!MOVIMENTACOES[[#This Row],[Código]],3),'[1]BASE DE FABRICANTES'!A:A,'[1]BASE DE FABRICANTES'!B:B,"VERIFICAR",0,1)</f>
        <v>MPR</v>
      </c>
      <c r="O127" s="14">
        <f>[1]!MOVIMENTACOES[[#This Row],[PREÇO NET]]*[1]!MOVIMENTACOES[[#This Row],[Qtde]]</f>
        <v>1200.5999999999999</v>
      </c>
      <c r="P127" s="3" t="s">
        <v>806</v>
      </c>
      <c r="Q127" s="3" t="s">
        <v>807</v>
      </c>
      <c r="R127" s="3" t="s">
        <v>49</v>
      </c>
      <c r="S127" s="3" t="s">
        <v>808</v>
      </c>
      <c r="T127" s="6">
        <v>46038</v>
      </c>
      <c r="U127" s="6" t="s">
        <v>809</v>
      </c>
      <c r="V127" s="3" t="s">
        <v>91</v>
      </c>
      <c r="W127" s="3"/>
      <c r="X127" s="3"/>
      <c r="Y127" s="3" t="s">
        <v>810</v>
      </c>
      <c r="Z127" s="3" t="s">
        <v>811</v>
      </c>
      <c r="AA127" s="3" t="s">
        <v>812</v>
      </c>
      <c r="AB127" s="3"/>
      <c r="AC127" s="3" t="s">
        <v>813</v>
      </c>
      <c r="AD127" s="3" t="s">
        <v>145</v>
      </c>
      <c r="AE127" s="3" t="s">
        <v>44</v>
      </c>
      <c r="AF127" s="3" t="s">
        <v>45</v>
      </c>
      <c r="AG127" s="3" t="s">
        <v>46</v>
      </c>
      <c r="AH127" s="3" t="s">
        <v>213</v>
      </c>
      <c r="AI127" s="3" t="s">
        <v>110</v>
      </c>
      <c r="AJ127" s="4">
        <v>20</v>
      </c>
      <c r="AK127" s="4">
        <v>0</v>
      </c>
      <c r="AL127" s="4">
        <v>0</v>
      </c>
      <c r="AM127" s="5">
        <v>19.524000000000001</v>
      </c>
      <c r="AN127" s="5">
        <v>70.8</v>
      </c>
      <c r="AO127" s="5">
        <v>390.48</v>
      </c>
      <c r="AP127" s="5">
        <v>1416</v>
      </c>
      <c r="AQ127" s="5">
        <v>1416</v>
      </c>
      <c r="AR127" s="5">
        <v>169.92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/>
      <c r="AY127" s="5"/>
      <c r="AZ127" s="5"/>
      <c r="BA127" s="5">
        <v>0</v>
      </c>
      <c r="BB127" s="5">
        <v>0</v>
      </c>
      <c r="BC127" s="5">
        <v>0</v>
      </c>
      <c r="BD127" s="5">
        <v>1246.08</v>
      </c>
      <c r="BE127" s="5">
        <v>8.1</v>
      </c>
      <c r="BF127" s="5">
        <v>0</v>
      </c>
      <c r="BG127" s="5">
        <v>1246.08</v>
      </c>
      <c r="BH127" s="5">
        <v>37.380000000000003</v>
      </c>
      <c r="BI127" s="5">
        <v>0</v>
      </c>
      <c r="BJ127" s="5">
        <v>0</v>
      </c>
      <c r="BK127" s="5">
        <v>0</v>
      </c>
      <c r="BL127" s="3" t="s">
        <v>49</v>
      </c>
      <c r="BM127" s="3"/>
      <c r="BN127" s="3" t="s">
        <v>97</v>
      </c>
      <c r="BO127" s="3" t="s">
        <v>51</v>
      </c>
      <c r="BP127" s="3" t="s">
        <v>814</v>
      </c>
      <c r="BQ127" s="6">
        <v>46539</v>
      </c>
    </row>
    <row r="128" spans="1:69" x14ac:dyDescent="0.25">
      <c r="A128" s="11" t="str">
        <f>LEFT([1]!MOVIMENTACOES[[#This Row],[Código]],9)</f>
        <v>067004016</v>
      </c>
      <c r="B128" s="11" t="s">
        <v>204</v>
      </c>
      <c r="C128" s="11" t="str">
        <f>TRIM(IFERROR(LEFT([1]!MOVIMENTACOES[[#This Row],[Descrição]],SEARCH([1]!MOVIMENTACOES[[#This Row],[EMBALAGEM]],[1]!MOVIMENTACOES[[#This Row],[Descrição]],1)-1),[1]!MOVIMENTACOES[[#This Row],[Descrição]]))</f>
        <v>SALICYLIC ACID</v>
      </c>
      <c r="D128" s="11" t="str">
        <f>_xlfn.CONCAT([1]!MOVIMENTACOES[[#This Row],[FABRICANTE]],[1]!MOVIMENTACOES[[#This Row],[DESCRIÇÃO SEM EMBALAGEM]],[1]!MOVIMENTACOES[[#This Row],[Coluna1]])</f>
        <v>CHEMAXCELSALICYLIC ACID25</v>
      </c>
      <c r="E128" s="12">
        <f>_xlfn.XLOOKUP([1]!MOVIMENTACOES[[#This Row],[CONCAT]],'[2]PRICE LIST'!$G:$G,'[2]PRICE LIST'!$Q:$Q,"VERIFICAR",0,1)</f>
        <v>14.499999999999998</v>
      </c>
      <c r="F128" s="13">
        <f>_xlfn.XLOOKUP([1]!MOVIMENTACOES[[#This Row],[Data]],[1]PTAX!A:A,[1]PTAX!C:C,"VERIFICAR",0,1)*[1]!MOVIMENTACOES[[#This Row],[PREÇO DE LISTA DOLAR]]</f>
        <v>77.99839999999999</v>
      </c>
      <c r="G128" s="14">
        <f>[1]!MOVIMENTACOES[[#This Row],[PREÇO NET]]-[1]!MOVIMENTACOES[[#This Row],[PREÇO DE LISTA REAL]]</f>
        <v>3.0836000000000041</v>
      </c>
      <c r="H128" s="15">
        <f>-[1]!MOVIMENTACOES[[#This Row],[DESCONTO CONCEDIDO]]/[1]!MOVIMENTACOES[[#This Row],[PREÇO DE LISTA REAL]]</f>
        <v>-3.9534144290139343E-2</v>
      </c>
      <c r="I12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81.081999999999994</v>
      </c>
      <c r="J128" s="15">
        <f>VLOOKUP([1]!MOVIMENTACOES[[#This Row],[DESC %]],[1]!DESC[#Data],2,TRUE)</f>
        <v>0.01</v>
      </c>
      <c r="K128" s="15">
        <f>_xlfn.XLOOKUP([1]!MOVIMENTACOES[[#This Row],[NF-e]],'[1]PEDIDOS E COMISSOES'!A:A,'[1]PEDIDOS E COMISSOES'!E:E,"VERIFICAR",0,1)</f>
        <v>0</v>
      </c>
      <c r="L128" s="15">
        <f>IF([1]!MOVIMENTACOES[[#This Row],[PERCENTUAL DE COMISSÕES]]+[1]!MOVIMENTACOES[[#This Row],[AJUSTE COMISSÃO]]&lt;0.06%,0.05%,[1]!MOVIMENTACOES[[#This Row],[PERCENTUAL DE COMISSÕES]]+[1]!MOVIMENTACOES[[#This Row],[AJUSTE COMISSÃO]])</f>
        <v>0.01</v>
      </c>
      <c r="M128" s="16">
        <f>[1]!MOVIMENTACOES[[#This Row],[COMISSÃO FINAL]]*([1]!MOVIMENTACOES[[#This Row],[PREÇO NET]]*[1]!MOVIMENTACOES[[#This Row],[Qtde]])</f>
        <v>81.081999999999994</v>
      </c>
      <c r="N128" s="14" t="str">
        <f>_xlfn.XLOOKUP(LEFT([1]!MOVIMENTACOES[[#This Row],[Código]],3),'[1]BASE DE FABRICANTES'!A:A,'[1]BASE DE FABRICANTES'!B:B,"VERIFICAR",0,1)</f>
        <v>CHEMAXCEL</v>
      </c>
      <c r="O128" s="14">
        <f>[1]!MOVIMENTACOES[[#This Row],[PREÇO NET]]*[1]!MOVIMENTACOES[[#This Row],[Qtde]]</f>
        <v>8108.1999999999989</v>
      </c>
      <c r="P128" s="17" t="s">
        <v>618</v>
      </c>
      <c r="Q128" s="17" t="s">
        <v>619</v>
      </c>
      <c r="R128" s="17" t="s">
        <v>49</v>
      </c>
      <c r="S128" s="17" t="s">
        <v>620</v>
      </c>
      <c r="T128" s="18">
        <v>46038</v>
      </c>
      <c r="U128" s="18" t="s">
        <v>815</v>
      </c>
      <c r="V128" s="17" t="s">
        <v>91</v>
      </c>
      <c r="W128" s="17"/>
      <c r="X128" s="17"/>
      <c r="Y128" s="17" t="s">
        <v>816</v>
      </c>
      <c r="Z128" s="17" t="s">
        <v>817</v>
      </c>
      <c r="AA128" s="17" t="s">
        <v>818</v>
      </c>
      <c r="AB128" s="17"/>
      <c r="AC128" s="17" t="s">
        <v>337</v>
      </c>
      <c r="AD128" s="17" t="s">
        <v>134</v>
      </c>
      <c r="AE128" s="17" t="s">
        <v>44</v>
      </c>
      <c r="AF128" s="17" t="s">
        <v>45</v>
      </c>
      <c r="AG128" s="17" t="s">
        <v>46</v>
      </c>
      <c r="AH128" s="17" t="s">
        <v>339</v>
      </c>
      <c r="AI128" s="17" t="s">
        <v>147</v>
      </c>
      <c r="AJ128" s="19">
        <v>100</v>
      </c>
      <c r="AK128" s="19">
        <v>50</v>
      </c>
      <c r="AL128" s="19">
        <v>4200</v>
      </c>
      <c r="AM128" s="20">
        <v>22.025158685200001</v>
      </c>
      <c r="AN128" s="20">
        <v>87.66</v>
      </c>
      <c r="AO128" s="20">
        <v>2202.5158685199999</v>
      </c>
      <c r="AP128" s="20">
        <v>8766</v>
      </c>
      <c r="AQ128" s="20">
        <v>8766</v>
      </c>
      <c r="AR128" s="20">
        <v>350.64</v>
      </c>
      <c r="AS128" s="20">
        <v>0</v>
      </c>
      <c r="AT128" s="20">
        <v>0</v>
      </c>
      <c r="AU128" s="20">
        <v>0</v>
      </c>
      <c r="AV128" s="20">
        <v>0</v>
      </c>
      <c r="AW128" s="20">
        <v>0</v>
      </c>
      <c r="AX128" s="20"/>
      <c r="AY128" s="20"/>
      <c r="AZ128" s="20"/>
      <c r="BA128" s="20">
        <v>0</v>
      </c>
      <c r="BB128" s="20">
        <v>0</v>
      </c>
      <c r="BC128" s="20">
        <v>0</v>
      </c>
      <c r="BD128" s="20">
        <v>8415.36</v>
      </c>
      <c r="BE128" s="20">
        <v>54.7</v>
      </c>
      <c r="BF128" s="20">
        <v>0</v>
      </c>
      <c r="BG128" s="20">
        <v>8415.36</v>
      </c>
      <c r="BH128" s="20">
        <v>252.46</v>
      </c>
      <c r="BI128" s="20">
        <v>0</v>
      </c>
      <c r="BJ128" s="20">
        <v>0</v>
      </c>
      <c r="BK128" s="20">
        <v>0</v>
      </c>
      <c r="BL128" s="17" t="s">
        <v>49</v>
      </c>
      <c r="BM128" s="17"/>
      <c r="BN128" s="17" t="s">
        <v>50</v>
      </c>
      <c r="BO128" s="17" t="s">
        <v>51</v>
      </c>
      <c r="BP128" s="17" t="s">
        <v>819</v>
      </c>
      <c r="BQ128" s="18">
        <v>47048</v>
      </c>
    </row>
    <row r="129" spans="1:69" x14ac:dyDescent="0.25">
      <c r="A129" s="11" t="str">
        <f>LEFT([1]!MOVIMENTACOES[[#This Row],[Código]],9)</f>
        <v>067004010</v>
      </c>
      <c r="B129" s="11" t="s">
        <v>149</v>
      </c>
      <c r="C129" s="11" t="str">
        <f>TRIM(IFERROR(LEFT([1]!MOVIMENTACOES[[#This Row],[Descrição]],SEARCH([1]!MOVIMENTACOES[[#This Row],[EMBALAGEM]],[1]!MOVIMENTACOES[[#This Row],[Descrição]],1)-1),[1]!MOVIMENTACOES[[#This Row],[Descrição]]))</f>
        <v>INNOVASENSE HOT FEEL</v>
      </c>
      <c r="D129" s="11" t="str">
        <f>_xlfn.CONCAT([1]!MOVIMENTACOES[[#This Row],[FABRICANTE]],[1]!MOVIMENTACOES[[#This Row],[DESCRIÇÃO SEM EMBALAGEM]],[1]!MOVIMENTACOES[[#This Row],[Coluna1]])</f>
        <v>CHEMAXCELINNOVASENSE HOT FEEL1</v>
      </c>
      <c r="E129" s="12">
        <f>_xlfn.XLOOKUP([1]!MOVIMENTACOES[[#This Row],[CONCAT]],'[2]PRICE LIST'!$G:$G,'[2]PRICE LIST'!$Q:$Q,"VERIFICAR",0,1)</f>
        <v>515.48281249999991</v>
      </c>
      <c r="F129" s="13">
        <f>_xlfn.XLOOKUP([1]!MOVIMENTACOES[[#This Row],[Data]],[1]PTAX!A:A,[1]PTAX!C:C,"VERIFICAR",0,1)*[1]!MOVIMENTACOES[[#This Row],[PREÇO DE LISTA DOLAR]]</f>
        <v>2772.8851449999993</v>
      </c>
      <c r="G129" s="14">
        <f>[1]!MOVIMENTACOES[[#This Row],[PREÇO NET]]-[1]!MOVIMENTACOES[[#This Row],[PREÇO DE LISTA REAL]]</f>
        <v>-1102.3918116666662</v>
      </c>
      <c r="H129" s="15">
        <f>-[1]!MOVIMENTACOES[[#This Row],[DESCONTO CONCEDIDO]]/[1]!MOVIMENTACOES[[#This Row],[PREÇO DE LISTA REAL]]</f>
        <v>0.39756129591392309</v>
      </c>
      <c r="I12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1670.4933333333331</v>
      </c>
      <c r="J129" s="15">
        <f>VLOOKUP([1]!MOVIMENTACOES[[#This Row],[DESC %]],[1]!DESC[#Data],2,TRUE)</f>
        <v>2.5000000000000001E-3</v>
      </c>
      <c r="K129" s="15">
        <f>_xlfn.XLOOKUP([1]!MOVIMENTACOES[[#This Row],[NF-e]],'[1]PEDIDOS E COMISSOES'!A:A,'[1]PEDIDOS E COMISSOES'!E:E,"VERIFICAR",0,1)</f>
        <v>2E-3</v>
      </c>
      <c r="L129" s="15">
        <f>IF([1]!MOVIMENTACOES[[#This Row],[PERCENTUAL DE COMISSÕES]]+[1]!MOVIMENTACOES[[#This Row],[AJUSTE COMISSÃO]]&lt;0.06%,0.05%,[1]!MOVIMENTACOES[[#This Row],[PERCENTUAL DE COMISSÕES]]+[1]!MOVIMENTACOES[[#This Row],[AJUSTE COMISSÃO]])</f>
        <v>4.5000000000000005E-3</v>
      </c>
      <c r="M129" s="16">
        <f>[1]!MOVIMENTACOES[[#This Row],[COMISSÃO FINAL]]*([1]!MOVIMENTACOES[[#This Row],[PREÇO NET]]*[1]!MOVIMENTACOES[[#This Row],[Qtde]])</f>
        <v>22.551660000000002</v>
      </c>
      <c r="N129" s="14" t="str">
        <f>_xlfn.XLOOKUP(LEFT([1]!MOVIMENTACOES[[#This Row],[Código]],3),'[1]BASE DE FABRICANTES'!A:A,'[1]BASE DE FABRICANTES'!B:B,"VERIFICAR",0,1)</f>
        <v>CHEMAXCEL</v>
      </c>
      <c r="O129" s="14">
        <f>[1]!MOVIMENTACOES[[#This Row],[PREÇO NET]]*[1]!MOVIMENTACOES[[#This Row],[Qtde]]</f>
        <v>5011.4799999999996</v>
      </c>
      <c r="P129" s="3" t="s">
        <v>425</v>
      </c>
      <c r="Q129" s="3" t="s">
        <v>426</v>
      </c>
      <c r="R129" s="3" t="s">
        <v>49</v>
      </c>
      <c r="S129" s="3" t="s">
        <v>427</v>
      </c>
      <c r="T129" s="6">
        <v>46038</v>
      </c>
      <c r="U129" s="6" t="s">
        <v>820</v>
      </c>
      <c r="V129" s="3" t="s">
        <v>91</v>
      </c>
      <c r="W129" s="3"/>
      <c r="X129" s="3"/>
      <c r="Y129" s="3" t="s">
        <v>821</v>
      </c>
      <c r="Z129" s="3" t="s">
        <v>822</v>
      </c>
      <c r="AA129" s="3" t="s">
        <v>823</v>
      </c>
      <c r="AB129" s="3"/>
      <c r="AC129" s="3" t="s">
        <v>797</v>
      </c>
      <c r="AD129" s="3" t="s">
        <v>134</v>
      </c>
      <c r="AE129" s="3" t="s">
        <v>44</v>
      </c>
      <c r="AF129" s="3" t="s">
        <v>45</v>
      </c>
      <c r="AG129" s="3" t="s">
        <v>46</v>
      </c>
      <c r="AH129" s="3" t="s">
        <v>47</v>
      </c>
      <c r="AI129" s="3" t="s">
        <v>48</v>
      </c>
      <c r="AJ129" s="4">
        <v>3</v>
      </c>
      <c r="AK129" s="4">
        <v>63</v>
      </c>
      <c r="AL129" s="4">
        <v>0</v>
      </c>
      <c r="AM129" s="5">
        <v>666.73335592169997</v>
      </c>
      <c r="AN129" s="5">
        <v>2114.36</v>
      </c>
      <c r="AO129" s="5">
        <v>2000.2000677650999</v>
      </c>
      <c r="AP129" s="5">
        <v>6343.08</v>
      </c>
      <c r="AQ129" s="5">
        <v>6343.08</v>
      </c>
      <c r="AR129" s="5">
        <v>1141.75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/>
      <c r="AY129" s="5"/>
      <c r="AZ129" s="5"/>
      <c r="BA129" s="5">
        <v>0</v>
      </c>
      <c r="BB129" s="5">
        <v>0</v>
      </c>
      <c r="BC129" s="5">
        <v>0</v>
      </c>
      <c r="BD129" s="5">
        <v>5201.33</v>
      </c>
      <c r="BE129" s="5">
        <v>33.81</v>
      </c>
      <c r="BF129" s="5">
        <v>0</v>
      </c>
      <c r="BG129" s="5">
        <v>5201.33</v>
      </c>
      <c r="BH129" s="5">
        <v>156.04</v>
      </c>
      <c r="BI129" s="5">
        <v>0</v>
      </c>
      <c r="BJ129" s="5">
        <v>0</v>
      </c>
      <c r="BK129" s="5">
        <v>0</v>
      </c>
      <c r="BL129" s="3" t="s">
        <v>49</v>
      </c>
      <c r="BM129" s="3"/>
      <c r="BN129" s="3" t="s">
        <v>50</v>
      </c>
      <c r="BO129" s="3" t="s">
        <v>51</v>
      </c>
      <c r="BP129" s="3" t="s">
        <v>824</v>
      </c>
      <c r="BQ129" s="6">
        <v>46515</v>
      </c>
    </row>
    <row r="130" spans="1:69" x14ac:dyDescent="0.25">
      <c r="A130" s="11" t="str">
        <f>LEFT([1]!MOVIMENTACOES[[#This Row],[Código]],9)</f>
        <v>031004013</v>
      </c>
      <c r="B130" s="11" t="s">
        <v>204</v>
      </c>
      <c r="C130" s="11" t="str">
        <f>TRIM(IFERROR(LEFT([1]!MOVIMENTACOES[[#This Row],[Descrição]],SEARCH([1]!MOVIMENTACOES[[#This Row],[EMBALAGEM]],[1]!MOVIMENTACOES[[#This Row],[Descrição]],1)-1),[1]!MOVIMENTACOES[[#This Row],[Descrição]]))</f>
        <v>PIROCTONE OLAMINE</v>
      </c>
      <c r="D130" s="11" t="str">
        <f>_xlfn.CONCAT([1]!MOVIMENTACOES[[#This Row],[FABRICANTE]],[1]!MOVIMENTACOES[[#This Row],[DESCRIÇÃO SEM EMBALAGEM]],[1]!MOVIMENTACOES[[#This Row],[Coluna1]])</f>
        <v>KUMARPIROCTONE OLAMINE25</v>
      </c>
      <c r="E130" s="12">
        <f>_xlfn.XLOOKUP([1]!MOVIMENTACOES[[#This Row],[CONCAT]],'[2]PRICE LIST'!$G:$G,'[2]PRICE LIST'!$Q:$Q,"VERIFICAR",0,1)</f>
        <v>142</v>
      </c>
      <c r="F130" s="13">
        <f>_xlfn.XLOOKUP([1]!MOVIMENTACOES[[#This Row],[Data]],[1]PTAX!A:A,[1]PTAX!C:C,"VERIFICAR",0,1)*[1]!MOVIMENTACOES[[#This Row],[PREÇO DE LISTA DOLAR]]</f>
        <v>763.84640000000002</v>
      </c>
      <c r="G130" s="14">
        <f>[1]!MOVIMENTACOES[[#This Row],[PREÇO NET]]-[1]!MOVIMENTACOES[[#This Row],[PREÇO DE LISTA REAL]]</f>
        <v>23.140799999999899</v>
      </c>
      <c r="H130" s="15">
        <f>-[1]!MOVIMENTACOES[[#This Row],[DESCONTO CONCEDIDO]]/[1]!MOVIMENTACOES[[#This Row],[PREÇO DE LISTA REAL]]</f>
        <v>-3.0295095977411032E-2</v>
      </c>
      <c r="I13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786.98719999999992</v>
      </c>
      <c r="J130" s="15">
        <f>VLOOKUP([1]!MOVIMENTACOES[[#This Row],[DESC %]],[1]!DESC[#Data],2,TRUE)</f>
        <v>0.01</v>
      </c>
      <c r="K130" s="15">
        <f>_xlfn.XLOOKUP([1]!MOVIMENTACOES[[#This Row],[NF-e]],'[1]PEDIDOS E COMISSOES'!A:A,'[1]PEDIDOS E COMISSOES'!E:E,"VERIFICAR",0,1)</f>
        <v>0</v>
      </c>
      <c r="L130" s="15">
        <f>IF([1]!MOVIMENTACOES[[#This Row],[PERCENTUAL DE COMISSÕES]]+[1]!MOVIMENTACOES[[#This Row],[AJUSTE COMISSÃO]]&lt;0.06%,0.05%,[1]!MOVIMENTACOES[[#This Row],[PERCENTUAL DE COMISSÕES]]+[1]!MOVIMENTACOES[[#This Row],[AJUSTE COMISSÃO]])</f>
        <v>0.01</v>
      </c>
      <c r="M130" s="16">
        <f>[1]!MOVIMENTACOES[[#This Row],[COMISSÃO FINAL]]*([1]!MOVIMENTACOES[[#This Row],[PREÇO NET]]*[1]!MOVIMENTACOES[[#This Row],[Qtde]])</f>
        <v>590.24039999999991</v>
      </c>
      <c r="N130" s="14" t="str">
        <f>_xlfn.XLOOKUP(LEFT([1]!MOVIMENTACOES[[#This Row],[Código]],3),'[1]BASE DE FABRICANTES'!A:A,'[1]BASE DE FABRICANTES'!B:B,"VERIFICAR",0,1)</f>
        <v>KUMAR</v>
      </c>
      <c r="O130" s="14">
        <f>[1]!MOVIMENTACOES[[#This Row],[PREÇO NET]]*[1]!MOVIMENTACOES[[#This Row],[Qtde]]</f>
        <v>59024.039999999994</v>
      </c>
      <c r="P130" s="17" t="s">
        <v>665</v>
      </c>
      <c r="Q130" s="17" t="s">
        <v>666</v>
      </c>
      <c r="R130" s="17" t="s">
        <v>49</v>
      </c>
      <c r="S130" s="17" t="s">
        <v>667</v>
      </c>
      <c r="T130" s="18">
        <v>46038</v>
      </c>
      <c r="U130" s="18" t="s">
        <v>825</v>
      </c>
      <c r="V130" s="17" t="s">
        <v>91</v>
      </c>
      <c r="W130" s="17"/>
      <c r="X130" s="17"/>
      <c r="Y130" s="17" t="s">
        <v>826</v>
      </c>
      <c r="Z130" s="17" t="s">
        <v>827</v>
      </c>
      <c r="AA130" s="17" t="s">
        <v>828</v>
      </c>
      <c r="AB130" s="17"/>
      <c r="AC130" s="17" t="s">
        <v>192</v>
      </c>
      <c r="AD130" s="17" t="s">
        <v>249</v>
      </c>
      <c r="AE130" s="17" t="s">
        <v>44</v>
      </c>
      <c r="AF130" s="17" t="s">
        <v>45</v>
      </c>
      <c r="AG130" s="17" t="s">
        <v>46</v>
      </c>
      <c r="AH130" s="17" t="s">
        <v>146</v>
      </c>
      <c r="AI130" s="17" t="s">
        <v>110</v>
      </c>
      <c r="AJ130" s="19">
        <v>75</v>
      </c>
      <c r="AK130" s="19">
        <v>625</v>
      </c>
      <c r="AL130" s="19">
        <v>0</v>
      </c>
      <c r="AM130" s="20">
        <v>431.76699959839999</v>
      </c>
      <c r="AN130" s="20">
        <v>878.28</v>
      </c>
      <c r="AO130" s="20">
        <v>32382.52496988</v>
      </c>
      <c r="AP130" s="20">
        <v>65871</v>
      </c>
      <c r="AQ130" s="20">
        <v>65871</v>
      </c>
      <c r="AR130" s="20">
        <v>4610.97</v>
      </c>
      <c r="AS130" s="20">
        <v>0</v>
      </c>
      <c r="AT130" s="20">
        <v>0</v>
      </c>
      <c r="AU130" s="20">
        <v>0</v>
      </c>
      <c r="AV130" s="20">
        <v>0</v>
      </c>
      <c r="AW130" s="20">
        <v>0</v>
      </c>
      <c r="AX130" s="20"/>
      <c r="AY130" s="20"/>
      <c r="AZ130" s="20"/>
      <c r="BA130" s="20">
        <v>0</v>
      </c>
      <c r="BB130" s="20">
        <v>0</v>
      </c>
      <c r="BC130" s="20">
        <v>0</v>
      </c>
      <c r="BD130" s="20">
        <v>61260.03</v>
      </c>
      <c r="BE130" s="20">
        <v>398.19</v>
      </c>
      <c r="BF130" s="20">
        <v>0</v>
      </c>
      <c r="BG130" s="20">
        <v>61260.03</v>
      </c>
      <c r="BH130" s="20">
        <v>1837.8</v>
      </c>
      <c r="BI130" s="20">
        <v>0</v>
      </c>
      <c r="BJ130" s="20">
        <v>0</v>
      </c>
      <c r="BK130" s="20">
        <v>0</v>
      </c>
      <c r="BL130" s="17" t="s">
        <v>49</v>
      </c>
      <c r="BM130" s="17"/>
      <c r="BN130" s="17" t="s">
        <v>55</v>
      </c>
      <c r="BO130" s="17" t="s">
        <v>51</v>
      </c>
      <c r="BP130" s="17" t="s">
        <v>829</v>
      </c>
      <c r="BQ130" s="18">
        <v>46934</v>
      </c>
    </row>
    <row r="131" spans="1:69" x14ac:dyDescent="0.25">
      <c r="A131" s="11" t="str">
        <f>LEFT([1]!MOVIMENTACOES[[#This Row],[Código]],9)</f>
        <v>026005089</v>
      </c>
      <c r="B131" s="11" t="s">
        <v>99</v>
      </c>
      <c r="C131" s="11" t="str">
        <f>TRIM(IFERROR(LEFT([1]!MOVIMENTACOES[[#This Row],[Descrição]],SEARCH([1]!MOVIMENTACOES[[#This Row],[EMBALAGEM]],[1]!MOVIMENTACOES[[#This Row],[Descrição]],1)-1),[1]!MOVIMENTACOES[[#This Row],[Descrição]]))</f>
        <v>NATURECEL 750</v>
      </c>
      <c r="D131" s="11" t="str">
        <f>_xlfn.CONCAT([1]!MOVIMENTACOES[[#This Row],[FABRICANTE]],[1]!MOVIMENTACOES[[#This Row],[DESCRIÇÃO SEM EMBALAGEM]],[1]!MOVIMENTACOES[[#This Row],[Coluna1]])</f>
        <v>MICRO POWDERSNATURECEL 7505</v>
      </c>
      <c r="E131" s="12">
        <f>_xlfn.XLOOKUP([1]!MOVIMENTACOES[[#This Row],[CONCAT]],'[2]PRICE LIST'!$G:$G,'[2]PRICE LIST'!$Q:$Q,"VERIFICAR",0,1)</f>
        <v>59.13009168</v>
      </c>
      <c r="F131" s="13">
        <f>_xlfn.XLOOKUP([1]!MOVIMENTACOES[[#This Row],[Data]],[1]PTAX!A:A,[1]PTAX!C:C,"VERIFICAR",0,1)*[1]!MOVIMENTACOES[[#This Row],[PREÇO DE LISTA DOLAR]]</f>
        <v>318.072589165056</v>
      </c>
      <c r="G131" s="14">
        <f>[1]!MOVIMENTACOES[[#This Row],[PREÇO NET]]-[1]!MOVIMENTACOES[[#This Row],[PREÇO DE LISTA REAL]]</f>
        <v>-51.589789165056004</v>
      </c>
      <c r="H131" s="15">
        <f>-[1]!MOVIMENTACOES[[#This Row],[DESCONTO CONCEDIDO]]/[1]!MOVIMENTACOES[[#This Row],[PREÇO DE LISTA REAL]]</f>
        <v>0.16219501749735732</v>
      </c>
      <c r="I13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266.4828</v>
      </c>
      <c r="J131" s="15">
        <f>VLOOKUP([1]!MOVIMENTACOES[[#This Row],[DESC %]],[1]!DESC[#Data],2,TRUE)</f>
        <v>4.0000000000000001E-3</v>
      </c>
      <c r="K131" s="15">
        <f>_xlfn.XLOOKUP([1]!MOVIMENTACOES[[#This Row],[NF-e]],'[1]PEDIDOS E COMISSOES'!A:A,'[1]PEDIDOS E COMISSOES'!E:E,"VERIFICAR",0,1)</f>
        <v>-4.5000000000000005E-3</v>
      </c>
      <c r="L131" s="15">
        <f>IF([1]!MOVIMENTACOES[[#This Row],[PERCENTUAL DE COMISSÕES]]+[1]!MOVIMENTACOES[[#This Row],[AJUSTE COMISSÃO]]&lt;0.06%,0.05%,[1]!MOVIMENTACOES[[#This Row],[PERCENTUAL DE COMISSÕES]]+[1]!MOVIMENTACOES[[#This Row],[AJUSTE COMISSÃO]])</f>
        <v>5.0000000000000001E-4</v>
      </c>
      <c r="M131" s="16">
        <f>[1]!MOVIMENTACOES[[#This Row],[COMISSÃO FINAL]]*([1]!MOVIMENTACOES[[#This Row],[PREÇO NET]]*[1]!MOVIMENTACOES[[#This Row],[Qtde]])</f>
        <v>3.331035</v>
      </c>
      <c r="N131" s="14" t="str">
        <f>_xlfn.XLOOKUP(LEFT([1]!MOVIMENTACOES[[#This Row],[Código]],3),'[1]BASE DE FABRICANTES'!A:A,'[1]BASE DE FABRICANTES'!B:B,"VERIFICAR",0,1)</f>
        <v>MICRO POWDERS</v>
      </c>
      <c r="O131" s="14">
        <f>[1]!MOVIMENTACOES[[#This Row],[PREÇO NET]]*[1]!MOVIMENTACOES[[#This Row],[Qtde]]</f>
        <v>6662.07</v>
      </c>
      <c r="P131" s="3" t="s">
        <v>830</v>
      </c>
      <c r="Q131" s="3" t="s">
        <v>831</v>
      </c>
      <c r="R131" s="3" t="s">
        <v>49</v>
      </c>
      <c r="S131" s="3" t="s">
        <v>832</v>
      </c>
      <c r="T131" s="6">
        <v>46038</v>
      </c>
      <c r="U131" s="6" t="s">
        <v>833</v>
      </c>
      <c r="V131" s="3" t="s">
        <v>91</v>
      </c>
      <c r="W131" s="3"/>
      <c r="X131" s="3"/>
      <c r="Y131" s="3" t="s">
        <v>834</v>
      </c>
      <c r="Z131" s="3" t="s">
        <v>835</v>
      </c>
      <c r="AA131" s="3" t="s">
        <v>836</v>
      </c>
      <c r="AB131" s="3"/>
      <c r="AC131" s="3" t="s">
        <v>321</v>
      </c>
      <c r="AD131" s="3"/>
      <c r="AE131" s="3" t="s">
        <v>44</v>
      </c>
      <c r="AF131" s="3" t="s">
        <v>45</v>
      </c>
      <c r="AG131" s="3" t="s">
        <v>46</v>
      </c>
      <c r="AH131" s="3" t="s">
        <v>47</v>
      </c>
      <c r="AI131" s="3" t="s">
        <v>48</v>
      </c>
      <c r="AJ131" s="4">
        <v>25</v>
      </c>
      <c r="AK131" s="4">
        <v>0</v>
      </c>
      <c r="AL131" s="4">
        <v>0</v>
      </c>
      <c r="AM131" s="5">
        <v>136.5496</v>
      </c>
      <c r="AN131" s="5">
        <v>337.29</v>
      </c>
      <c r="AO131" s="5">
        <v>3413.74</v>
      </c>
      <c r="AP131" s="5">
        <v>8432.25</v>
      </c>
      <c r="AQ131" s="5">
        <v>8432.25</v>
      </c>
      <c r="AR131" s="5">
        <v>1517.81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/>
      <c r="AY131" s="5"/>
      <c r="AZ131" s="5"/>
      <c r="BA131" s="5">
        <v>8432.25</v>
      </c>
      <c r="BB131" s="5">
        <v>274.05</v>
      </c>
      <c r="BC131" s="5">
        <v>0</v>
      </c>
      <c r="BD131" s="5">
        <v>6914.44</v>
      </c>
      <c r="BE131" s="5">
        <v>44.94</v>
      </c>
      <c r="BF131" s="5">
        <v>0</v>
      </c>
      <c r="BG131" s="5">
        <v>6914.44</v>
      </c>
      <c r="BH131" s="5">
        <v>207.43</v>
      </c>
      <c r="BI131" s="5">
        <v>0</v>
      </c>
      <c r="BJ131" s="5">
        <v>0</v>
      </c>
      <c r="BK131" s="5">
        <v>0</v>
      </c>
      <c r="BL131" s="3" t="s">
        <v>49</v>
      </c>
      <c r="BM131" s="3"/>
      <c r="BN131" s="3" t="s">
        <v>55</v>
      </c>
      <c r="BO131" s="3" t="s">
        <v>51</v>
      </c>
      <c r="BP131" s="3" t="s">
        <v>837</v>
      </c>
      <c r="BQ131" s="6">
        <v>47511</v>
      </c>
    </row>
    <row r="132" spans="1:69" x14ac:dyDescent="0.25">
      <c r="A132" s="11" t="str">
        <f>LEFT([1]!MOVIMENTACOES[[#This Row],[Código]],9)</f>
        <v>090004004</v>
      </c>
      <c r="B132" s="11" t="s">
        <v>149</v>
      </c>
      <c r="C132" s="11" t="str">
        <f>TRIM(IFERROR(LEFT([1]!MOVIMENTACOES[[#This Row],[Descrição]],SEARCH([1]!MOVIMENTACOES[[#This Row],[EMBALAGEM]],[1]!MOVIMENTACOES[[#This Row],[Descrição]],1)-1),[1]!MOVIMENTACOES[[#This Row],[Descrição]]))</f>
        <v>WKPEP ERASIN</v>
      </c>
      <c r="D132" s="11" t="str">
        <f>_xlfn.CONCAT([1]!MOVIMENTACOES[[#This Row],[FABRICANTE]],[1]!MOVIMENTACOES[[#This Row],[DESCRIÇÃO SEM EMBALAGEM]],[1]!MOVIMENTACOES[[#This Row],[Coluna1]])</f>
        <v>WINKEYWKPEP ERASIN1</v>
      </c>
      <c r="E132" s="12">
        <f>_xlfn.XLOOKUP([1]!MOVIMENTACOES[[#This Row],[CONCAT]],'[2]PRICE LIST'!$G:$G,'[2]PRICE LIST'!$Q:$Q,"VERIFICAR",0,1)</f>
        <v>1438.4293333333337</v>
      </c>
      <c r="F132" s="13">
        <f>_xlfn.XLOOKUP([1]!MOVIMENTACOES[[#This Row],[Data]],[1]PTAX!A:A,[1]PTAX!C:C,"VERIFICAR",0,1)*[1]!MOVIMENTACOES[[#This Row],[PREÇO DE LISTA DOLAR]]</f>
        <v>7737.5990698666683</v>
      </c>
      <c r="G132" s="14">
        <f>[1]!MOVIMENTACOES[[#This Row],[PREÇO NET]]-[1]!MOVIMENTACOES[[#This Row],[PREÇO DE LISTA REAL]]</f>
        <v>-3166.1117971393951</v>
      </c>
      <c r="H132" s="15">
        <f>-[1]!MOVIMENTACOES[[#This Row],[DESCONTO CONCEDIDO]]/[1]!MOVIMENTACOES[[#This Row],[PREÇO DE LISTA REAL]]</f>
        <v>0.40918530005896936</v>
      </c>
      <c r="I13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4571.4872727272732</v>
      </c>
      <c r="J132" s="15">
        <f>VLOOKUP([1]!MOVIMENTACOES[[#This Row],[DESC %]],[1]!DESC[#Data],2,TRUE)</f>
        <v>2.5000000000000001E-3</v>
      </c>
      <c r="K132" s="15">
        <f>_xlfn.XLOOKUP([1]!MOVIMENTACOES[[#This Row],[NF-e]],'[1]PEDIDOS E COMISSOES'!A:A,'[1]PEDIDOS E COMISSOES'!E:E,"VERIFICAR",0,1)</f>
        <v>-4.5000000000000005E-3</v>
      </c>
      <c r="L132" s="15">
        <f>IF([1]!MOVIMENTACOES[[#This Row],[PERCENTUAL DE COMISSÕES]]+[1]!MOVIMENTACOES[[#This Row],[AJUSTE COMISSÃO]]&lt;0.06%,0.05%,[1]!MOVIMENTACOES[[#This Row],[PERCENTUAL DE COMISSÕES]]+[1]!MOVIMENTACOES[[#This Row],[AJUSTE COMISSÃO]])</f>
        <v>5.0000000000000001E-4</v>
      </c>
      <c r="M132" s="16">
        <f>[1]!MOVIMENTACOES[[#This Row],[COMISSÃO FINAL]]*([1]!MOVIMENTACOES[[#This Row],[PREÇO NET]]*[1]!MOVIMENTACOES[[#This Row],[Qtde]])</f>
        <v>125.7159</v>
      </c>
      <c r="N132" s="14" t="str">
        <f>_xlfn.XLOOKUP(LEFT([1]!MOVIMENTACOES[[#This Row],[Código]],3),'[1]BASE DE FABRICANTES'!A:A,'[1]BASE DE FABRICANTES'!B:B,"VERIFICAR",0,1)</f>
        <v>WINKEY</v>
      </c>
      <c r="O132" s="14">
        <f>[1]!MOVIMENTACOES[[#This Row],[PREÇO NET]]*[1]!MOVIMENTACOES[[#This Row],[Qtde]]</f>
        <v>251431.80000000002</v>
      </c>
      <c r="P132" s="17" t="s">
        <v>838</v>
      </c>
      <c r="Q132" s="17" t="s">
        <v>839</v>
      </c>
      <c r="R132" s="17" t="s">
        <v>49</v>
      </c>
      <c r="S132" s="17" t="s">
        <v>444</v>
      </c>
      <c r="T132" s="18">
        <v>46038</v>
      </c>
      <c r="U132" s="18" t="s">
        <v>436</v>
      </c>
      <c r="V132" s="17" t="s">
        <v>91</v>
      </c>
      <c r="W132" s="17"/>
      <c r="X132" s="17"/>
      <c r="Y132" s="17" t="s">
        <v>840</v>
      </c>
      <c r="Z132" s="17" t="s">
        <v>841</v>
      </c>
      <c r="AA132" s="17" t="s">
        <v>842</v>
      </c>
      <c r="AB132" s="17"/>
      <c r="AC132" s="17" t="s">
        <v>321</v>
      </c>
      <c r="AD132" s="17" t="s">
        <v>445</v>
      </c>
      <c r="AE132" s="17" t="s">
        <v>44</v>
      </c>
      <c r="AF132" s="17" t="s">
        <v>45</v>
      </c>
      <c r="AG132" s="17" t="s">
        <v>46</v>
      </c>
      <c r="AH132" s="17" t="s">
        <v>47</v>
      </c>
      <c r="AI132" s="17" t="s">
        <v>48</v>
      </c>
      <c r="AJ132" s="19">
        <v>55</v>
      </c>
      <c r="AK132" s="19">
        <v>55</v>
      </c>
      <c r="AL132" s="19">
        <v>0</v>
      </c>
      <c r="AM132" s="20">
        <v>2147.2962491612002</v>
      </c>
      <c r="AN132" s="20">
        <v>5786.18</v>
      </c>
      <c r="AO132" s="20">
        <v>118101.293703866</v>
      </c>
      <c r="AP132" s="20">
        <v>318239.90000000002</v>
      </c>
      <c r="AQ132" s="20">
        <v>318239.90000000002</v>
      </c>
      <c r="AR132" s="20">
        <v>57283.18</v>
      </c>
      <c r="AS132" s="20">
        <v>0</v>
      </c>
      <c r="AT132" s="20">
        <v>0</v>
      </c>
      <c r="AU132" s="20">
        <v>0</v>
      </c>
      <c r="AV132" s="20">
        <v>0</v>
      </c>
      <c r="AW132" s="20">
        <v>0</v>
      </c>
      <c r="AX132" s="20"/>
      <c r="AY132" s="20"/>
      <c r="AZ132" s="20"/>
      <c r="BA132" s="20">
        <v>0</v>
      </c>
      <c r="BB132" s="20">
        <v>0</v>
      </c>
      <c r="BC132" s="20">
        <v>0</v>
      </c>
      <c r="BD132" s="20">
        <v>260956.72</v>
      </c>
      <c r="BE132" s="20">
        <v>1696.22</v>
      </c>
      <c r="BF132" s="20">
        <v>0</v>
      </c>
      <c r="BG132" s="20">
        <v>260956.72</v>
      </c>
      <c r="BH132" s="20">
        <v>7828.7</v>
      </c>
      <c r="BI132" s="20">
        <v>0</v>
      </c>
      <c r="BJ132" s="20">
        <v>0</v>
      </c>
      <c r="BK132" s="20">
        <v>0</v>
      </c>
      <c r="BL132" s="17" t="s">
        <v>49</v>
      </c>
      <c r="BM132" s="17"/>
      <c r="BN132" s="17" t="s">
        <v>55</v>
      </c>
      <c r="BO132" s="17" t="s">
        <v>51</v>
      </c>
      <c r="BP132" s="17" t="s">
        <v>843</v>
      </c>
      <c r="BQ132" s="18">
        <v>46694</v>
      </c>
    </row>
    <row r="133" spans="1:69" x14ac:dyDescent="0.25">
      <c r="A133" s="11" t="str">
        <f>LEFT([1]!MOVIMENTACOES[[#This Row],[Código]],9)</f>
        <v>001004120</v>
      </c>
      <c r="B133" s="11" t="s">
        <v>149</v>
      </c>
      <c r="C133" s="11" t="str">
        <f>TRIM(IFERROR(LEFT([1]!MOVIMENTACOES[[#This Row],[Descrição]],SEARCH([1]!MOVIMENTACOES[[#This Row],[EMBALAGEM]],[1]!MOVIMENTACOES[[#This Row],[Descrição]],1)-1),[1]!MOVIMENTACOES[[#This Row],[Descrição]]))</f>
        <v>CORNEOSTICKER DS2</v>
      </c>
      <c r="D133" s="11" t="str">
        <f>_xlfn.CONCAT([1]!MOVIMENTACOES[[#This Row],[FABRICANTE]],[1]!MOVIMENTACOES[[#This Row],[DESCRIÇÃO SEM EMBALAGEM]],[1]!MOVIMENTACOES[[#This Row],[Coluna1]])</f>
        <v>CODIFCORNEOSTICKER DS21</v>
      </c>
      <c r="E133" s="12">
        <f>_xlfn.XLOOKUP([1]!MOVIMENTACOES[[#This Row],[CONCAT]],'[2]PRICE LIST'!$G:$G,'[2]PRICE LIST'!$Q:$Q,"VERIFICAR",0,1)</f>
        <v>561.54112679999992</v>
      </c>
      <c r="F133" s="13">
        <f>_xlfn.XLOOKUP([1]!MOVIMENTACOES[[#This Row],[Data]],[1]PTAX!A:A,[1]PTAX!C:C,"VERIFICAR",0,1)*[1]!MOVIMENTACOES[[#This Row],[PREÇO DE LISTA DOLAR]]</f>
        <v>3020.6420292825596</v>
      </c>
      <c r="G133" s="14">
        <f>[1]!MOVIMENTACOES[[#This Row],[PREÇO NET]]-[1]!MOVIMENTACOES[[#This Row],[PREÇO DE LISTA REAL]]</f>
        <v>95.447970717440512</v>
      </c>
      <c r="H133" s="15">
        <f>-[1]!MOVIMENTACOES[[#This Row],[DESCONTO CONCEDIDO]]/[1]!MOVIMENTACOES[[#This Row],[PREÇO DE LISTA REAL]]</f>
        <v>-3.1598570698597679E-2</v>
      </c>
      <c r="I13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3116.09</v>
      </c>
      <c r="J133" s="15">
        <f>VLOOKUP([1]!MOVIMENTACOES[[#This Row],[DESC %]],[1]!DESC[#Data],2,TRUE)</f>
        <v>0.01</v>
      </c>
      <c r="K133" s="15">
        <f>_xlfn.XLOOKUP([1]!MOVIMENTACOES[[#This Row],[NF-e]],'[1]PEDIDOS E COMISSOES'!A:A,'[1]PEDIDOS E COMISSOES'!E:E,"VERIFICAR",0,1)</f>
        <v>-4.5000000000000005E-3</v>
      </c>
      <c r="L133" s="15">
        <f>IF([1]!MOVIMENTACOES[[#This Row],[PERCENTUAL DE COMISSÕES]]+[1]!MOVIMENTACOES[[#This Row],[AJUSTE COMISSÃO]]&lt;0.06%,0.05%,[1]!MOVIMENTACOES[[#This Row],[PERCENTUAL DE COMISSÕES]]+[1]!MOVIMENTACOES[[#This Row],[AJUSTE COMISSÃO]])</f>
        <v>5.4999999999999997E-3</v>
      </c>
      <c r="M133" s="16">
        <f>[1]!MOVIMENTACOES[[#This Row],[COMISSÃO FINAL]]*([1]!MOVIMENTACOES[[#This Row],[PREÇO NET]]*[1]!MOVIMENTACOES[[#This Row],[Qtde]])</f>
        <v>17.138494999999999</v>
      </c>
      <c r="N133" s="14" t="str">
        <f>_xlfn.XLOOKUP(LEFT([1]!MOVIMENTACOES[[#This Row],[Código]],3),'[1]BASE DE FABRICANTES'!A:A,'[1]BASE DE FABRICANTES'!B:B,"VERIFICAR",0,1)</f>
        <v>CODIF</v>
      </c>
      <c r="O133" s="14">
        <f>[1]!MOVIMENTACOES[[#This Row],[PREÇO NET]]*[1]!MOVIMENTACOES[[#This Row],[Qtde]]</f>
        <v>3116.09</v>
      </c>
      <c r="P133" s="3" t="s">
        <v>844</v>
      </c>
      <c r="Q133" s="3" t="s">
        <v>845</v>
      </c>
      <c r="R133" s="3" t="s">
        <v>49</v>
      </c>
      <c r="S133" s="3" t="s">
        <v>120</v>
      </c>
      <c r="T133" s="6">
        <v>46038</v>
      </c>
      <c r="U133" s="6" t="s">
        <v>846</v>
      </c>
      <c r="V133" s="3" t="s">
        <v>91</v>
      </c>
      <c r="W133" s="3"/>
      <c r="X133" s="3"/>
      <c r="Y133" s="3" t="s">
        <v>847</v>
      </c>
      <c r="Z133" s="3" t="s">
        <v>848</v>
      </c>
      <c r="AA133" s="3" t="s">
        <v>849</v>
      </c>
      <c r="AB133" s="3"/>
      <c r="AC133" s="3" t="s">
        <v>321</v>
      </c>
      <c r="AD133" s="3" t="s">
        <v>125</v>
      </c>
      <c r="AE133" s="3" t="s">
        <v>44</v>
      </c>
      <c r="AF133" s="3" t="s">
        <v>45</v>
      </c>
      <c r="AG133" s="3" t="s">
        <v>46</v>
      </c>
      <c r="AH133" s="3" t="s">
        <v>47</v>
      </c>
      <c r="AI133" s="3" t="s">
        <v>48</v>
      </c>
      <c r="AJ133" s="4">
        <v>1</v>
      </c>
      <c r="AK133" s="4">
        <v>23</v>
      </c>
      <c r="AL133" s="4">
        <v>0</v>
      </c>
      <c r="AM133" s="5">
        <v>1352.5911829999</v>
      </c>
      <c r="AN133" s="5">
        <v>3944.06</v>
      </c>
      <c r="AO133" s="5">
        <v>1352.5911829999</v>
      </c>
      <c r="AP133" s="5">
        <v>3944.06</v>
      </c>
      <c r="AQ133" s="5">
        <v>3944.06</v>
      </c>
      <c r="AR133" s="5">
        <v>709.93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/>
      <c r="AY133" s="5"/>
      <c r="AZ133" s="5"/>
      <c r="BA133" s="5">
        <v>0</v>
      </c>
      <c r="BB133" s="5">
        <v>0</v>
      </c>
      <c r="BC133" s="5">
        <v>0</v>
      </c>
      <c r="BD133" s="5">
        <v>3234.13</v>
      </c>
      <c r="BE133" s="5">
        <v>21.02</v>
      </c>
      <c r="BF133" s="5">
        <v>0</v>
      </c>
      <c r="BG133" s="5">
        <v>3234.13</v>
      </c>
      <c r="BH133" s="5">
        <v>97.02</v>
      </c>
      <c r="BI133" s="5">
        <v>0</v>
      </c>
      <c r="BJ133" s="5">
        <v>0</v>
      </c>
      <c r="BK133" s="5">
        <v>0</v>
      </c>
      <c r="BL133" s="3" t="s">
        <v>49</v>
      </c>
      <c r="BM133" s="3"/>
      <c r="BN133" s="3" t="s">
        <v>55</v>
      </c>
      <c r="BO133" s="3" t="s">
        <v>51</v>
      </c>
      <c r="BP133" s="3" t="s">
        <v>850</v>
      </c>
      <c r="BQ133" s="6">
        <v>46765</v>
      </c>
    </row>
    <row r="134" spans="1:69" x14ac:dyDescent="0.25">
      <c r="A134" s="11" t="str">
        <f>LEFT([1]!MOVIMENTACOES[[#This Row],[Código]],9)</f>
        <v>008008001</v>
      </c>
      <c r="B134" s="11" t="s">
        <v>149</v>
      </c>
      <c r="C134" s="11" t="str">
        <f>TRIM(IFERROR(LEFT([1]!MOVIMENTACOES[[#This Row],[Descrição]],SEARCH([1]!MOVIMENTACOES[[#This Row],[EMBALAGEM]],[1]!MOVIMENTACOES[[#This Row],[Descrição]],1)-1),[1]!MOVIMENTACOES[[#This Row],[Descrição]]))</f>
        <v>INNOVA CHARCOAL POWDER 200</v>
      </c>
      <c r="D134" s="11" t="str">
        <f>_xlfn.CONCAT([1]!MOVIMENTACOES[[#This Row],[FABRICANTE]],[1]!MOVIMENTACOES[[#This Row],[DESCRIÇÃO SEM EMBALAGEM]],[1]!MOVIMENTACOES[[#This Row],[Coluna1]])</f>
        <v>KPTINNOVA CHARCOAL POWDER 2001</v>
      </c>
      <c r="E134" s="12">
        <f>_xlfn.XLOOKUP([1]!MOVIMENTACOES[[#This Row],[CONCAT]],'[2]PRICE LIST'!$G:$G,'[2]PRICE LIST'!$Q:$Q,"VERIFICAR",0,1)</f>
        <v>172.25</v>
      </c>
      <c r="F134" s="13">
        <f>_xlfn.XLOOKUP([1]!MOVIMENTACOES[[#This Row],[Data]],[1]PTAX!A:A,[1]PTAX!C:C,"VERIFICAR",0,1)*[1]!MOVIMENTACOES[[#This Row],[PREÇO DE LISTA DOLAR]]</f>
        <v>926.56719999999996</v>
      </c>
      <c r="G134" s="14">
        <f>[1]!MOVIMENTACOES[[#This Row],[PREÇO NET]]-[1]!MOVIMENTACOES[[#This Row],[PREÇO DE LISTA REAL]]</f>
        <v>52.407799999999952</v>
      </c>
      <c r="H134" s="15">
        <f>-[1]!MOVIMENTACOES[[#This Row],[DESCONTO CONCEDIDO]]/[1]!MOVIMENTACOES[[#This Row],[PREÇO DE LISTA REAL]]</f>
        <v>-5.6561251035003132E-2</v>
      </c>
      <c r="I13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978.97499999999991</v>
      </c>
      <c r="J134" s="15">
        <f>VLOOKUP([1]!MOVIMENTACOES[[#This Row],[DESC %]],[1]!DESC[#Data],2,TRUE)</f>
        <v>0.01</v>
      </c>
      <c r="K134" s="15">
        <f>_xlfn.XLOOKUP([1]!MOVIMENTACOES[[#This Row],[NF-e]],'[1]PEDIDOS E COMISSOES'!A:A,'[1]PEDIDOS E COMISSOES'!E:E,"VERIFICAR",0,1)</f>
        <v>-4.5000000000000005E-3</v>
      </c>
      <c r="L134" s="15">
        <f>IF([1]!MOVIMENTACOES[[#This Row],[PERCENTUAL DE COMISSÕES]]+[1]!MOVIMENTACOES[[#This Row],[AJUSTE COMISSÃO]]&lt;0.06%,0.05%,[1]!MOVIMENTACOES[[#This Row],[PERCENTUAL DE COMISSÕES]]+[1]!MOVIMENTACOES[[#This Row],[AJUSTE COMISSÃO]])</f>
        <v>5.4999999999999997E-3</v>
      </c>
      <c r="M134" s="16">
        <f>[1]!MOVIMENTACOES[[#This Row],[COMISSÃO FINAL]]*([1]!MOVIMENTACOES[[#This Row],[PREÇO NET]]*[1]!MOVIMENTACOES[[#This Row],[Qtde]])</f>
        <v>10.768724999999998</v>
      </c>
      <c r="N134" s="14" t="str">
        <f>_xlfn.XLOOKUP(LEFT([1]!MOVIMENTACOES[[#This Row],[Código]],3),'[1]BASE DE FABRICANTES'!A:A,'[1]BASE DE FABRICANTES'!B:B,"VERIFICAR",0,1)</f>
        <v>KPT</v>
      </c>
      <c r="O134" s="14">
        <f>[1]!MOVIMENTACOES[[#This Row],[PREÇO NET]]*[1]!MOVIMENTACOES[[#This Row],[Qtde]]</f>
        <v>1957.9499999999998</v>
      </c>
      <c r="P134" s="17" t="s">
        <v>194</v>
      </c>
      <c r="Q134" s="17" t="s">
        <v>195</v>
      </c>
      <c r="R134" s="17" t="s">
        <v>49</v>
      </c>
      <c r="S134" s="17" t="s">
        <v>196</v>
      </c>
      <c r="T134" s="18">
        <v>46038</v>
      </c>
      <c r="U134" s="18" t="s">
        <v>851</v>
      </c>
      <c r="V134" s="17" t="s">
        <v>91</v>
      </c>
      <c r="W134" s="17"/>
      <c r="X134" s="17"/>
      <c r="Y134" s="17" t="s">
        <v>852</v>
      </c>
      <c r="Z134" s="17" t="s">
        <v>853</v>
      </c>
      <c r="AA134" s="17" t="s">
        <v>854</v>
      </c>
      <c r="AB134" s="17"/>
      <c r="AC134" s="17" t="s">
        <v>321</v>
      </c>
      <c r="AD134" s="17" t="s">
        <v>96</v>
      </c>
      <c r="AE134" s="17" t="s">
        <v>44</v>
      </c>
      <c r="AF134" s="17" t="s">
        <v>45</v>
      </c>
      <c r="AG134" s="17" t="s">
        <v>46</v>
      </c>
      <c r="AH134" s="17" t="s">
        <v>47</v>
      </c>
      <c r="AI134" s="17" t="s">
        <v>48</v>
      </c>
      <c r="AJ134" s="19">
        <v>2</v>
      </c>
      <c r="AK134" s="19">
        <v>5</v>
      </c>
      <c r="AL134" s="19">
        <v>0</v>
      </c>
      <c r="AM134" s="20">
        <v>262.99349446100001</v>
      </c>
      <c r="AN134" s="20">
        <v>1239.0999999999999</v>
      </c>
      <c r="AO134" s="20">
        <v>525.98698892200002</v>
      </c>
      <c r="AP134" s="20">
        <v>2478.1999999999998</v>
      </c>
      <c r="AQ134" s="20">
        <v>2478.1999999999998</v>
      </c>
      <c r="AR134" s="20">
        <v>446.08</v>
      </c>
      <c r="AS134" s="20">
        <v>0</v>
      </c>
      <c r="AT134" s="20">
        <v>0</v>
      </c>
      <c r="AU134" s="20">
        <v>0</v>
      </c>
      <c r="AV134" s="20">
        <v>0</v>
      </c>
      <c r="AW134" s="20">
        <v>0</v>
      </c>
      <c r="AX134" s="20"/>
      <c r="AY134" s="20"/>
      <c r="AZ134" s="20"/>
      <c r="BA134" s="20">
        <v>0</v>
      </c>
      <c r="BB134" s="20">
        <v>0</v>
      </c>
      <c r="BC134" s="20">
        <v>0</v>
      </c>
      <c r="BD134" s="20">
        <v>2032.12</v>
      </c>
      <c r="BE134" s="20">
        <v>13.21</v>
      </c>
      <c r="BF134" s="20">
        <v>0</v>
      </c>
      <c r="BG134" s="20">
        <v>2032.12</v>
      </c>
      <c r="BH134" s="20">
        <v>60.96</v>
      </c>
      <c r="BI134" s="20">
        <v>0</v>
      </c>
      <c r="BJ134" s="20">
        <v>0</v>
      </c>
      <c r="BK134" s="20">
        <v>0</v>
      </c>
      <c r="BL134" s="17" t="s">
        <v>49</v>
      </c>
      <c r="BM134" s="17"/>
      <c r="BN134" s="17" t="s">
        <v>55</v>
      </c>
      <c r="BO134" s="17" t="s">
        <v>51</v>
      </c>
      <c r="BP134" s="17" t="s">
        <v>203</v>
      </c>
      <c r="BQ134" s="18">
        <v>46378</v>
      </c>
    </row>
    <row r="135" spans="1:69" x14ac:dyDescent="0.25">
      <c r="A135" s="11" t="str">
        <f>LEFT([1]!MOVIMENTACOES[[#This Row],[Código]],9)</f>
        <v>030004008</v>
      </c>
      <c r="B135" s="11" t="s">
        <v>149</v>
      </c>
      <c r="C135" s="11" t="str">
        <f>TRIM(IFERROR(LEFT([1]!MOVIMENTACOES[[#This Row],[Descrição]],SEARCH([1]!MOVIMENTACOES[[#This Row],[EMBALAGEM]],[1]!MOVIMENTACOES[[#This Row],[Descrição]],1)-1),[1]!MOVIMENTACOES[[#This Row],[Descrição]]))</f>
        <v>TRANEXAMIC ACID</v>
      </c>
      <c r="D135" s="11" t="str">
        <f>_xlfn.CONCAT([1]!MOVIMENTACOES[[#This Row],[FABRICANTE]],[1]!MOVIMENTACOES[[#This Row],[DESCRIÇÃO SEM EMBALAGEM]],[1]!MOVIMENTACOES[[#This Row],[Coluna1]])</f>
        <v>SPEC CHEMTRANEXAMIC ACID1</v>
      </c>
      <c r="E135" s="12">
        <f>_xlfn.XLOOKUP([1]!MOVIMENTACOES[[#This Row],[CONCAT]],'[2]PRICE LIST'!$G:$G,'[2]PRICE LIST'!$Q:$Q,"VERIFICAR",0,1)</f>
        <v>346.49843750000002</v>
      </c>
      <c r="F135" s="13">
        <f>_xlfn.XLOOKUP([1]!MOVIMENTACOES[[#This Row],[Data]],[1]PTAX!A:A,[1]PTAX!C:C,"VERIFICAR",0,1)*[1]!MOVIMENTACOES[[#This Row],[PREÇO DE LISTA DOLAR]]</f>
        <v>1863.884395</v>
      </c>
      <c r="G135" s="14">
        <f>[1]!MOVIMENTACOES[[#This Row],[PREÇO NET]]-[1]!MOVIMENTACOES[[#This Row],[PREÇO DE LISTA REAL]]</f>
        <v>-680.53772833333346</v>
      </c>
      <c r="H135" s="15">
        <f>-[1]!MOVIMENTACOES[[#This Row],[DESCONTO CONCEDIDO]]/[1]!MOVIMENTACOES[[#This Row],[PREÇO DE LISTA REAL]]</f>
        <v>0.3651179923813534</v>
      </c>
      <c r="I13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1183.3466666666666</v>
      </c>
      <c r="J135" s="15">
        <f>VLOOKUP([1]!MOVIMENTACOES[[#This Row],[DESC %]],[1]!DESC[#Data],2,TRUE)</f>
        <v>2.5000000000000001E-3</v>
      </c>
      <c r="K135" s="15">
        <f>_xlfn.XLOOKUP([1]!MOVIMENTACOES[[#This Row],[NF-e]],'[1]PEDIDOS E COMISSOES'!A:A,'[1]PEDIDOS E COMISSOES'!E:E,"VERIFICAR",0,1)</f>
        <v>-5.0000000000000001E-4</v>
      </c>
      <c r="L135" s="15">
        <f>IF([1]!MOVIMENTACOES[[#This Row],[PERCENTUAL DE COMISSÕES]]+[1]!MOVIMENTACOES[[#This Row],[AJUSTE COMISSÃO]]&lt;0.06%,0.05%,[1]!MOVIMENTACOES[[#This Row],[PERCENTUAL DE COMISSÕES]]+[1]!MOVIMENTACOES[[#This Row],[AJUSTE COMISSÃO]])</f>
        <v>2E-3</v>
      </c>
      <c r="M135" s="16">
        <f>[1]!MOVIMENTACOES[[#This Row],[COMISSÃO FINAL]]*([1]!MOVIMENTACOES[[#This Row],[PREÇO NET]]*[1]!MOVIMENTACOES[[#This Row],[Qtde]])</f>
        <v>7.1000800000000002</v>
      </c>
      <c r="N135" s="14" t="str">
        <f>_xlfn.XLOOKUP(LEFT([1]!MOVIMENTACOES[[#This Row],[Código]],3),'[1]BASE DE FABRICANTES'!A:A,'[1]BASE DE FABRICANTES'!B:B,"VERIFICAR",0,1)</f>
        <v>SPEC CHEM</v>
      </c>
      <c r="O135" s="14">
        <f>[1]!MOVIMENTACOES[[#This Row],[PREÇO NET]]*[1]!MOVIMENTACOES[[#This Row],[Qtde]]</f>
        <v>3550.04</v>
      </c>
      <c r="P135" s="3" t="s">
        <v>533</v>
      </c>
      <c r="Q135" s="3" t="s">
        <v>561</v>
      </c>
      <c r="R135" s="3" t="s">
        <v>49</v>
      </c>
      <c r="S135" s="3" t="s">
        <v>535</v>
      </c>
      <c r="T135" s="6">
        <v>46038</v>
      </c>
      <c r="U135" s="6" t="s">
        <v>855</v>
      </c>
      <c r="V135" s="3" t="s">
        <v>91</v>
      </c>
      <c r="W135" s="3"/>
      <c r="X135" s="3"/>
      <c r="Y135" s="3" t="s">
        <v>856</v>
      </c>
      <c r="Z135" s="3" t="s">
        <v>857</v>
      </c>
      <c r="AA135" s="3" t="s">
        <v>858</v>
      </c>
      <c r="AB135" s="3"/>
      <c r="AC135" s="3" t="s">
        <v>859</v>
      </c>
      <c r="AD135" s="3"/>
      <c r="AE135" s="3" t="s">
        <v>44</v>
      </c>
      <c r="AF135" s="3" t="s">
        <v>45</v>
      </c>
      <c r="AG135" s="3" t="s">
        <v>46</v>
      </c>
      <c r="AH135" s="3" t="s">
        <v>146</v>
      </c>
      <c r="AI135" s="3" t="s">
        <v>110</v>
      </c>
      <c r="AJ135" s="4">
        <v>3</v>
      </c>
      <c r="AK135" s="4">
        <v>104</v>
      </c>
      <c r="AL135" s="4">
        <v>0</v>
      </c>
      <c r="AM135" s="5">
        <v>395.35198390940002</v>
      </c>
      <c r="AN135" s="5">
        <v>1320.62</v>
      </c>
      <c r="AO135" s="5">
        <v>1186.0559517281999</v>
      </c>
      <c r="AP135" s="5">
        <v>3961.86</v>
      </c>
      <c r="AQ135" s="5">
        <v>3961.86</v>
      </c>
      <c r="AR135" s="5">
        <v>277.33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/>
      <c r="AY135" s="5"/>
      <c r="AZ135" s="5"/>
      <c r="BA135" s="5">
        <v>0</v>
      </c>
      <c r="BB135" s="5">
        <v>0</v>
      </c>
      <c r="BC135" s="5">
        <v>0</v>
      </c>
      <c r="BD135" s="5">
        <v>3684.53</v>
      </c>
      <c r="BE135" s="5">
        <v>23.95</v>
      </c>
      <c r="BF135" s="5">
        <v>0</v>
      </c>
      <c r="BG135" s="5">
        <v>3684.53</v>
      </c>
      <c r="BH135" s="5">
        <v>110.54</v>
      </c>
      <c r="BI135" s="5">
        <v>0</v>
      </c>
      <c r="BJ135" s="5">
        <v>0</v>
      </c>
      <c r="BK135" s="5">
        <v>0</v>
      </c>
      <c r="BL135" s="3" t="s">
        <v>49</v>
      </c>
      <c r="BM135" s="3"/>
      <c r="BN135" s="3" t="s">
        <v>228</v>
      </c>
      <c r="BO135" s="3" t="s">
        <v>51</v>
      </c>
      <c r="BP135" s="3" t="s">
        <v>540</v>
      </c>
      <c r="BQ135" s="6">
        <v>46894</v>
      </c>
    </row>
    <row r="136" spans="1:69" x14ac:dyDescent="0.25">
      <c r="A136" s="11" t="str">
        <f>LEFT([1]!MOVIMENTACOES[[#This Row],[Código]],9)</f>
        <v>061004002</v>
      </c>
      <c r="B136" s="11" t="s">
        <v>149</v>
      </c>
      <c r="C136" s="11" t="str">
        <f>TRIM(IFERROR(LEFT([1]!MOVIMENTACOES[[#This Row],[Descrição]],SEARCH([1]!MOVIMENTACOES[[#This Row],[EMBALAGEM]],[1]!MOVIMENTACOES[[#This Row],[Descrição]],1)-1),[1]!MOVIMENTACOES[[#This Row],[Descrição]]))</f>
        <v>BIO-SODIUM HYALURONATE POWDER (MMW)</v>
      </c>
      <c r="D136" s="11" t="str">
        <f>_xlfn.CONCAT([1]!MOVIMENTACOES[[#This Row],[FABRICANTE]],[1]!MOVIMENTACOES[[#This Row],[DESCRIÇÃO SEM EMBALAGEM]],[1]!MOVIMENTACOES[[#This Row],[Coluna1]])</f>
        <v>FOCUSBIO-SODIUM HYALURONATE POWDER (MMW)1</v>
      </c>
      <c r="E136" s="12">
        <f>_xlfn.XLOOKUP([1]!MOVIMENTACOES[[#This Row],[CONCAT]],'[2]PRICE LIST'!$G:$G,'[2]PRICE LIST'!$Q:$Q,"VERIFICAR",0,1)</f>
        <v>1687.4495999999999</v>
      </c>
      <c r="F136" s="13">
        <f>_xlfn.XLOOKUP([1]!MOVIMENTACOES[[#This Row],[Data]],[1]PTAX!A:A,[1]PTAX!C:C,"VERIFICAR",0,1)*[1]!MOVIMENTACOES[[#This Row],[PREÇO DE LISTA DOLAR]]</f>
        <v>9077.1288883199995</v>
      </c>
      <c r="G136" s="14">
        <f>[1]!MOVIMENTACOES[[#This Row],[PREÇO NET]]-[1]!MOVIMENTACOES[[#This Row],[PREÇO DE LISTA REAL]]</f>
        <v>-6208.7288883199999</v>
      </c>
      <c r="H136" s="15">
        <f>-[1]!MOVIMENTACOES[[#This Row],[DESCONTO CONCEDIDO]]/[1]!MOVIMENTACOES[[#This Row],[PREÇO DE LISTA REAL]]</f>
        <v>0.68399699560387262</v>
      </c>
      <c r="I13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2868.4</v>
      </c>
      <c r="J136" s="15">
        <f>VLOOKUP([1]!MOVIMENTACOES[[#This Row],[DESC %]],[1]!DESC[#Data],2,TRUE)</f>
        <v>2.5000000000000001E-3</v>
      </c>
      <c r="K136" s="15">
        <f>_xlfn.XLOOKUP([1]!MOVIMENTACOES[[#This Row],[NF-e]],'[1]PEDIDOS E COMISSOES'!A:A,'[1]PEDIDOS E COMISSOES'!E:E,"VERIFICAR",0,1)</f>
        <v>-5.0000000000000001E-4</v>
      </c>
      <c r="L136" s="15">
        <f>IF([1]!MOVIMENTACOES[[#This Row],[PERCENTUAL DE COMISSÕES]]+[1]!MOVIMENTACOES[[#This Row],[AJUSTE COMISSÃO]]&lt;0.06%,0.05%,[1]!MOVIMENTACOES[[#This Row],[PERCENTUAL DE COMISSÕES]]+[1]!MOVIMENTACOES[[#This Row],[AJUSTE COMISSÃO]])</f>
        <v>2E-3</v>
      </c>
      <c r="M136" s="16">
        <f>[1]!MOVIMENTACOES[[#This Row],[COMISSÃO FINAL]]*([1]!MOVIMENTACOES[[#This Row],[PREÇO NET]]*[1]!MOVIMENTACOES[[#This Row],[Qtde]])</f>
        <v>11.473600000000001</v>
      </c>
      <c r="N136" s="14" t="str">
        <f>_xlfn.XLOOKUP(LEFT([1]!MOVIMENTACOES[[#This Row],[Código]],3),'[1]BASE DE FABRICANTES'!A:A,'[1]BASE DE FABRICANTES'!B:B,"VERIFICAR",0,1)</f>
        <v>FOCUS</v>
      </c>
      <c r="O136" s="14">
        <f>[1]!MOVIMENTACOES[[#This Row],[PREÇO NET]]*[1]!MOVIMENTACOES[[#This Row],[Qtde]]</f>
        <v>5736.8</v>
      </c>
      <c r="P136" s="17" t="s">
        <v>860</v>
      </c>
      <c r="Q136" s="17" t="s">
        <v>861</v>
      </c>
      <c r="R136" s="17" t="s">
        <v>49</v>
      </c>
      <c r="S136" s="17" t="s">
        <v>102</v>
      </c>
      <c r="T136" s="18">
        <v>46038</v>
      </c>
      <c r="U136" s="18" t="s">
        <v>855</v>
      </c>
      <c r="V136" s="17" t="s">
        <v>91</v>
      </c>
      <c r="W136" s="17"/>
      <c r="X136" s="17"/>
      <c r="Y136" s="17" t="s">
        <v>856</v>
      </c>
      <c r="Z136" s="17" t="s">
        <v>857</v>
      </c>
      <c r="AA136" s="17" t="s">
        <v>858</v>
      </c>
      <c r="AB136" s="17"/>
      <c r="AC136" s="17" t="s">
        <v>859</v>
      </c>
      <c r="AD136" s="17" t="s">
        <v>54</v>
      </c>
      <c r="AE136" s="17" t="s">
        <v>44</v>
      </c>
      <c r="AF136" s="17" t="s">
        <v>45</v>
      </c>
      <c r="AG136" s="17" t="s">
        <v>46</v>
      </c>
      <c r="AH136" s="17" t="s">
        <v>146</v>
      </c>
      <c r="AI136" s="17" t="s">
        <v>110</v>
      </c>
      <c r="AJ136" s="19">
        <v>2</v>
      </c>
      <c r="AK136" s="19">
        <v>8</v>
      </c>
      <c r="AL136" s="19">
        <v>0</v>
      </c>
      <c r="AM136" s="20">
        <v>928.88315908369998</v>
      </c>
      <c r="AN136" s="20">
        <v>3201.14</v>
      </c>
      <c r="AO136" s="20">
        <v>1857.7663181674</v>
      </c>
      <c r="AP136" s="20">
        <v>6402.28</v>
      </c>
      <c r="AQ136" s="20">
        <v>6402.28</v>
      </c>
      <c r="AR136" s="20">
        <v>448.16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/>
      <c r="AY136" s="20"/>
      <c r="AZ136" s="20"/>
      <c r="BA136" s="20">
        <v>6402.28</v>
      </c>
      <c r="BB136" s="20">
        <v>208.07</v>
      </c>
      <c r="BC136" s="20">
        <v>0</v>
      </c>
      <c r="BD136" s="20">
        <v>5954.12</v>
      </c>
      <c r="BE136" s="20">
        <v>38.700000000000003</v>
      </c>
      <c r="BF136" s="20">
        <v>0</v>
      </c>
      <c r="BG136" s="20">
        <v>5954.12</v>
      </c>
      <c r="BH136" s="20">
        <v>178.62</v>
      </c>
      <c r="BI136" s="20">
        <v>0</v>
      </c>
      <c r="BJ136" s="20">
        <v>0</v>
      </c>
      <c r="BK136" s="20">
        <v>0</v>
      </c>
      <c r="BL136" s="17" t="s">
        <v>49</v>
      </c>
      <c r="BM136" s="17"/>
      <c r="BN136" s="17" t="s">
        <v>228</v>
      </c>
      <c r="BO136" s="17" t="s">
        <v>51</v>
      </c>
      <c r="BP136" s="17" t="s">
        <v>862</v>
      </c>
      <c r="BQ136" s="18">
        <v>46680</v>
      </c>
    </row>
    <row r="137" spans="1:69" x14ac:dyDescent="0.25">
      <c r="A137" s="11" t="str">
        <f>LEFT([1]!MOVIMENTACOES[[#This Row],[Código]],9)</f>
        <v>030004006</v>
      </c>
      <c r="B137" s="11" t="s">
        <v>204</v>
      </c>
      <c r="C137" s="11" t="str">
        <f>TRIM(IFERROR(LEFT([1]!MOVIMENTACOES[[#This Row],[Descrição]],SEARCH([1]!MOVIMENTACOES[[#This Row],[EMBALAGEM]],[1]!MOVIMENTACOES[[#This Row],[Descrição]],1)-1),[1]!MOVIMENTACOES[[#This Row],[Descrição]]))</f>
        <v>MANDELIC ACID</v>
      </c>
      <c r="D137" s="11" t="str">
        <f>_xlfn.CONCAT([1]!MOVIMENTACOES[[#This Row],[FABRICANTE]],[1]!MOVIMENTACOES[[#This Row],[DESCRIÇÃO SEM EMBALAGEM]],[1]!MOVIMENTACOES[[#This Row],[Coluna1]])</f>
        <v>SPEC CHEMMANDELIC ACID25</v>
      </c>
      <c r="E137" s="12">
        <f>_xlfn.XLOOKUP([1]!MOVIMENTACOES[[#This Row],[CONCAT]],'[2]PRICE LIST'!$G:$G,'[2]PRICE LIST'!$Q:$Q,"VERIFICAR",0,1)</f>
        <v>55.480743999999994</v>
      </c>
      <c r="F137" s="13">
        <f>_xlfn.XLOOKUP([1]!MOVIMENTACOES[[#This Row],[Data]],[1]PTAX!A:A,[1]PTAX!C:C,"VERIFICAR",0,1)*[1]!MOVIMENTACOES[[#This Row],[PREÇO DE LISTA DOLAR]]</f>
        <v>298.44201812479997</v>
      </c>
      <c r="G137" s="14">
        <f>[1]!MOVIMENTACOES[[#This Row],[PREÇO NET]]-[1]!MOVIMENTACOES[[#This Row],[PREÇO DE LISTA REAL]]</f>
        <v>53.336381875200004</v>
      </c>
      <c r="H137" s="15">
        <f>-[1]!MOVIMENTACOES[[#This Row],[DESCONTO CONCEDIDO]]/[1]!MOVIMENTACOES[[#This Row],[PREÇO DE LISTA REAL]]</f>
        <v>-0.17871606086277114</v>
      </c>
      <c r="I13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351.77839999999998</v>
      </c>
      <c r="J137" s="15">
        <f>VLOOKUP([1]!MOVIMENTACOES[[#This Row],[DESC %]],[1]!DESC[#Data],2,TRUE)</f>
        <v>0.01</v>
      </c>
      <c r="K137" s="15">
        <f>_xlfn.XLOOKUP([1]!MOVIMENTACOES[[#This Row],[NF-e]],'[1]PEDIDOS E COMISSOES'!A:A,'[1]PEDIDOS E COMISSOES'!E:E,"VERIFICAR",0,1)</f>
        <v>-4.5000000000000005E-3</v>
      </c>
      <c r="L137" s="15">
        <f>IF([1]!MOVIMENTACOES[[#This Row],[PERCENTUAL DE COMISSÕES]]+[1]!MOVIMENTACOES[[#This Row],[AJUSTE COMISSÃO]]&lt;0.06%,0.05%,[1]!MOVIMENTACOES[[#This Row],[PERCENTUAL DE COMISSÕES]]+[1]!MOVIMENTACOES[[#This Row],[AJUSTE COMISSÃO]])</f>
        <v>5.4999999999999997E-3</v>
      </c>
      <c r="M137" s="16">
        <f>[1]!MOVIMENTACOES[[#This Row],[COMISSÃO FINAL]]*([1]!MOVIMENTACOES[[#This Row],[PREÇO NET]]*[1]!MOVIMENTACOES[[#This Row],[Qtde]])</f>
        <v>48.36952999999999</v>
      </c>
      <c r="N137" s="14" t="str">
        <f>_xlfn.XLOOKUP(LEFT([1]!MOVIMENTACOES[[#This Row],[Código]],3),'[1]BASE DE FABRICANTES'!A:A,'[1]BASE DE FABRICANTES'!B:B,"VERIFICAR",0,1)</f>
        <v>SPEC CHEM</v>
      </c>
      <c r="O137" s="14">
        <f>[1]!MOVIMENTACOES[[#This Row],[PREÇO NET]]*[1]!MOVIMENTACOES[[#This Row],[Qtde]]</f>
        <v>8794.4599999999991</v>
      </c>
      <c r="P137" s="3" t="s">
        <v>719</v>
      </c>
      <c r="Q137" s="3" t="s">
        <v>720</v>
      </c>
      <c r="R137" s="3" t="s">
        <v>49</v>
      </c>
      <c r="S137" s="3" t="s">
        <v>515</v>
      </c>
      <c r="T137" s="6">
        <v>46038</v>
      </c>
      <c r="U137" s="6" t="s">
        <v>863</v>
      </c>
      <c r="V137" s="3" t="s">
        <v>91</v>
      </c>
      <c r="W137" s="3"/>
      <c r="X137" s="3"/>
      <c r="Y137" s="3" t="s">
        <v>864</v>
      </c>
      <c r="Z137" s="3" t="s">
        <v>865</v>
      </c>
      <c r="AA137" s="3" t="s">
        <v>866</v>
      </c>
      <c r="AB137" s="3"/>
      <c r="AC137" s="3" t="s">
        <v>321</v>
      </c>
      <c r="AD137" s="3" t="s">
        <v>165</v>
      </c>
      <c r="AE137" s="3" t="s">
        <v>44</v>
      </c>
      <c r="AF137" s="3" t="s">
        <v>45</v>
      </c>
      <c r="AG137" s="3" t="s">
        <v>46</v>
      </c>
      <c r="AH137" s="3" t="s">
        <v>47</v>
      </c>
      <c r="AI137" s="3" t="s">
        <v>48</v>
      </c>
      <c r="AJ137" s="4">
        <v>25</v>
      </c>
      <c r="AK137" s="4">
        <v>400</v>
      </c>
      <c r="AL137" s="4">
        <v>1000</v>
      </c>
      <c r="AM137" s="5">
        <v>135.85393507180001</v>
      </c>
      <c r="AN137" s="5">
        <v>445.25</v>
      </c>
      <c r="AO137" s="5">
        <v>3396.3483767950001</v>
      </c>
      <c r="AP137" s="5">
        <v>11131.25</v>
      </c>
      <c r="AQ137" s="5">
        <v>11131.25</v>
      </c>
      <c r="AR137" s="5">
        <v>2003.63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/>
      <c r="AY137" s="5"/>
      <c r="AZ137" s="5"/>
      <c r="BA137" s="5">
        <v>0</v>
      </c>
      <c r="BB137" s="5">
        <v>0</v>
      </c>
      <c r="BC137" s="5">
        <v>0</v>
      </c>
      <c r="BD137" s="5">
        <v>9127.6200000000008</v>
      </c>
      <c r="BE137" s="5">
        <v>59.33</v>
      </c>
      <c r="BF137" s="5">
        <v>0</v>
      </c>
      <c r="BG137" s="5">
        <v>9127.6200000000008</v>
      </c>
      <c r="BH137" s="5">
        <v>273.83</v>
      </c>
      <c r="BI137" s="5">
        <v>0</v>
      </c>
      <c r="BJ137" s="5">
        <v>0</v>
      </c>
      <c r="BK137" s="5">
        <v>0</v>
      </c>
      <c r="BL137" s="3" t="s">
        <v>49</v>
      </c>
      <c r="BM137" s="3"/>
      <c r="BN137" s="3" t="s">
        <v>55</v>
      </c>
      <c r="BO137" s="3" t="s">
        <v>51</v>
      </c>
      <c r="BP137" s="3" t="s">
        <v>516</v>
      </c>
      <c r="BQ137" s="6">
        <v>46306</v>
      </c>
    </row>
    <row r="138" spans="1:69" x14ac:dyDescent="0.25">
      <c r="A138" s="11" t="str">
        <f>LEFT([1]!MOVIMENTACOES[[#This Row],[Código]],9)</f>
        <v>030004007</v>
      </c>
      <c r="B138" s="11" t="s">
        <v>149</v>
      </c>
      <c r="C138" s="11" t="str">
        <f>TRIM(IFERROR(LEFT([1]!MOVIMENTACOES[[#This Row],[Descrição]],SEARCH([1]!MOVIMENTACOES[[#This Row],[EMBALAGEM]],[1]!MOVIMENTACOES[[#This Row],[Descrição]],1)-1),[1]!MOVIMENTACOES[[#This Row],[Descrição]]))</f>
        <v>FERULIC ACID</v>
      </c>
      <c r="D138" s="11" t="str">
        <f>_xlfn.CONCAT([1]!MOVIMENTACOES[[#This Row],[FABRICANTE]],[1]!MOVIMENTACOES[[#This Row],[DESCRIÇÃO SEM EMBALAGEM]],[1]!MOVIMENTACOES[[#This Row],[Coluna1]])</f>
        <v>SPEC CHEMFERULIC ACID1</v>
      </c>
      <c r="E138" s="12">
        <f>_xlfn.XLOOKUP([1]!MOVIMENTACOES[[#This Row],[CONCAT]],'[2]PRICE LIST'!$G:$G,'[2]PRICE LIST'!$Q:$Q,"VERIFICAR",0,1)</f>
        <v>373.75</v>
      </c>
      <c r="F138" s="13">
        <f>_xlfn.XLOOKUP([1]!MOVIMENTACOES[[#This Row],[Data]],[1]PTAX!A:A,[1]PTAX!C:C,"VERIFICAR",0,1)*[1]!MOVIMENTACOES[[#This Row],[PREÇO DE LISTA DOLAR]]</f>
        <v>2010.4759999999999</v>
      </c>
      <c r="G138" s="14">
        <f>[1]!MOVIMENTACOES[[#This Row],[PREÇO NET]]-[1]!MOVIMENTACOES[[#This Row],[PREÇO DE LISTA REAL]]</f>
        <v>-775.65099999999984</v>
      </c>
      <c r="H138" s="15">
        <f>-[1]!MOVIMENTACOES[[#This Row],[DESCONTO CONCEDIDO]]/[1]!MOVIMENTACOES[[#This Row],[PREÇO DE LISTA REAL]]</f>
        <v>0.38580465521597862</v>
      </c>
      <c r="I13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1234.825</v>
      </c>
      <c r="J138" s="15">
        <f>VLOOKUP([1]!MOVIMENTACOES[[#This Row],[DESC %]],[1]!DESC[#Data],2,TRUE)</f>
        <v>2.5000000000000001E-3</v>
      </c>
      <c r="K138" s="15">
        <f>_xlfn.XLOOKUP([1]!MOVIMENTACOES[[#This Row],[NF-e]],'[1]PEDIDOS E COMISSOES'!A:A,'[1]PEDIDOS E COMISSOES'!E:E,"VERIFICAR",0,1)</f>
        <v>-4.5000000000000005E-3</v>
      </c>
      <c r="L138" s="15">
        <f>IF([1]!MOVIMENTACOES[[#This Row],[PERCENTUAL DE COMISSÕES]]+[1]!MOVIMENTACOES[[#This Row],[AJUSTE COMISSÃO]]&lt;0.06%,0.05%,[1]!MOVIMENTACOES[[#This Row],[PERCENTUAL DE COMISSÕES]]+[1]!MOVIMENTACOES[[#This Row],[AJUSTE COMISSÃO]])</f>
        <v>5.0000000000000001E-4</v>
      </c>
      <c r="M138" s="16">
        <f>[1]!MOVIMENTACOES[[#This Row],[COMISSÃO FINAL]]*([1]!MOVIMENTACOES[[#This Row],[PREÇO NET]]*[1]!MOVIMENTACOES[[#This Row],[Qtde]])</f>
        <v>1.2348250000000001</v>
      </c>
      <c r="N138" s="14" t="str">
        <f>_xlfn.XLOOKUP(LEFT([1]!MOVIMENTACOES[[#This Row],[Código]],3),'[1]BASE DE FABRICANTES'!A:A,'[1]BASE DE FABRICANTES'!B:B,"VERIFICAR",0,1)</f>
        <v>SPEC CHEM</v>
      </c>
      <c r="O138" s="14">
        <f>[1]!MOVIMENTACOES[[#This Row],[PREÇO NET]]*[1]!MOVIMENTACOES[[#This Row],[Qtde]]</f>
        <v>2469.65</v>
      </c>
      <c r="P138" s="17" t="s">
        <v>362</v>
      </c>
      <c r="Q138" s="17" t="s">
        <v>363</v>
      </c>
      <c r="R138" s="17" t="s">
        <v>49</v>
      </c>
      <c r="S138" s="17" t="s">
        <v>364</v>
      </c>
      <c r="T138" s="18">
        <v>46038</v>
      </c>
      <c r="U138" s="18" t="s">
        <v>863</v>
      </c>
      <c r="V138" s="17" t="s">
        <v>91</v>
      </c>
      <c r="W138" s="17"/>
      <c r="X138" s="17"/>
      <c r="Y138" s="17" t="s">
        <v>864</v>
      </c>
      <c r="Z138" s="17" t="s">
        <v>865</v>
      </c>
      <c r="AA138" s="17" t="s">
        <v>866</v>
      </c>
      <c r="AB138" s="17"/>
      <c r="AC138" s="17" t="s">
        <v>321</v>
      </c>
      <c r="AD138" s="17" t="s">
        <v>165</v>
      </c>
      <c r="AE138" s="17" t="s">
        <v>44</v>
      </c>
      <c r="AF138" s="17" t="s">
        <v>45</v>
      </c>
      <c r="AG138" s="17" t="s">
        <v>46</v>
      </c>
      <c r="AH138" s="17" t="s">
        <v>47</v>
      </c>
      <c r="AI138" s="17" t="s">
        <v>48</v>
      </c>
      <c r="AJ138" s="19">
        <v>2</v>
      </c>
      <c r="AK138" s="19">
        <v>22</v>
      </c>
      <c r="AL138" s="19">
        <v>0</v>
      </c>
      <c r="AM138" s="20">
        <v>568.30052723710003</v>
      </c>
      <c r="AN138" s="20">
        <v>1562.93</v>
      </c>
      <c r="AO138" s="20">
        <v>1136.6010544742001</v>
      </c>
      <c r="AP138" s="20">
        <v>3125.86</v>
      </c>
      <c r="AQ138" s="20">
        <v>3125.86</v>
      </c>
      <c r="AR138" s="20">
        <v>562.65</v>
      </c>
      <c r="AS138" s="20">
        <v>0</v>
      </c>
      <c r="AT138" s="20">
        <v>0</v>
      </c>
      <c r="AU138" s="20">
        <v>0</v>
      </c>
      <c r="AV138" s="20">
        <v>0</v>
      </c>
      <c r="AW138" s="20">
        <v>0</v>
      </c>
      <c r="AX138" s="20"/>
      <c r="AY138" s="20"/>
      <c r="AZ138" s="20"/>
      <c r="BA138" s="20">
        <v>0</v>
      </c>
      <c r="BB138" s="20">
        <v>0</v>
      </c>
      <c r="BC138" s="20">
        <v>0</v>
      </c>
      <c r="BD138" s="20">
        <v>2563.21</v>
      </c>
      <c r="BE138" s="20">
        <v>16.66</v>
      </c>
      <c r="BF138" s="20">
        <v>0</v>
      </c>
      <c r="BG138" s="20">
        <v>2563.21</v>
      </c>
      <c r="BH138" s="20">
        <v>76.900000000000006</v>
      </c>
      <c r="BI138" s="20">
        <v>0</v>
      </c>
      <c r="BJ138" s="20">
        <v>0</v>
      </c>
      <c r="BK138" s="20">
        <v>0</v>
      </c>
      <c r="BL138" s="17" t="s">
        <v>49</v>
      </c>
      <c r="BM138" s="17"/>
      <c r="BN138" s="17" t="s">
        <v>55</v>
      </c>
      <c r="BO138" s="17" t="s">
        <v>51</v>
      </c>
      <c r="BP138" s="17" t="s">
        <v>369</v>
      </c>
      <c r="BQ138" s="18">
        <v>46564</v>
      </c>
    </row>
    <row r="139" spans="1:69" x14ac:dyDescent="0.25">
      <c r="A139" s="11" t="str">
        <f>LEFT([1]!MOVIMENTACOES[[#This Row],[Código]],9)</f>
        <v>002004119</v>
      </c>
      <c r="B139" s="11" t="s">
        <v>149</v>
      </c>
      <c r="C139" s="11" t="str">
        <f>TRIM(IFERROR(LEFT([1]!MOVIMENTACOES[[#This Row],[Descrição]],SEARCH([1]!MOVIMENTACOES[[#This Row],[EMBALAGEM]],[1]!MOVIMENTACOES[[#This Row],[Descrição]],1)-1),[1]!MOVIMENTACOES[[#This Row],[Descrição]]))</f>
        <v>RICE PDRN (ED)</v>
      </c>
      <c r="D139" s="11" t="str">
        <f>_xlfn.CONCAT([1]!MOVIMENTACOES[[#This Row],[FABRICANTE]],[1]!MOVIMENTACOES[[#This Row],[DESCRIÇÃO SEM EMBALAGEM]],[1]!MOVIMENTACOES[[#This Row],[Coluna1]])</f>
        <v>BIOLANDRICE PDRN (ED)1</v>
      </c>
      <c r="E139" s="12">
        <f>_xlfn.XLOOKUP([1]!MOVIMENTACOES[[#This Row],[CONCAT]],'[2]PRICE LIST'!$G:$G,'[2]PRICE LIST'!$Q:$Q,"VERIFICAR",0,1)</f>
        <v>1733.8541049999999</v>
      </c>
      <c r="F139" s="13">
        <f>_xlfn.XLOOKUP([1]!MOVIMENTACOES[[#This Row],[Data]],[1]PTAX!A:A,[1]PTAX!C:C,"VERIFICAR",0,1)*[1]!MOVIMENTACOES[[#This Row],[PREÇO DE LISTA DOLAR]]</f>
        <v>9301.6071170934993</v>
      </c>
      <c r="G139" s="14">
        <f>[1]!MOVIMENTACOES[[#This Row],[PREÇO NET]]-[1]!MOVIMENTACOES[[#This Row],[PREÇO DE LISTA REAL]]</f>
        <v>-3719.8271170934995</v>
      </c>
      <c r="H139" s="15">
        <f>-[1]!MOVIMENTACOES[[#This Row],[DESCONTO CONCEDIDO]]/[1]!MOVIMENTACOES[[#This Row],[PREÇO DE LISTA REAL]]</f>
        <v>0.39991230227920493</v>
      </c>
      <c r="I13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5581.78</v>
      </c>
      <c r="J139" s="15">
        <f>VLOOKUP([1]!MOVIMENTACOES[[#This Row],[DESC %]],[1]!DESC[#Data],2,TRUE)</f>
        <v>2.5000000000000001E-3</v>
      </c>
      <c r="K139" s="15">
        <f>_xlfn.XLOOKUP([1]!MOVIMENTACOES[[#This Row],[NF-e]],'[1]PEDIDOS E COMISSOES'!A:A,'[1]PEDIDOS E COMISSOES'!E:E,"VERIFICAR",0,1)</f>
        <v>2E-3</v>
      </c>
      <c r="L139" s="15">
        <f>IF([1]!MOVIMENTACOES[[#This Row],[PERCENTUAL DE COMISSÕES]]+[1]!MOVIMENTACOES[[#This Row],[AJUSTE COMISSÃO]]&lt;0.06%,0.05%,[1]!MOVIMENTACOES[[#This Row],[PERCENTUAL DE COMISSÕES]]+[1]!MOVIMENTACOES[[#This Row],[AJUSTE COMISSÃO]])</f>
        <v>4.5000000000000005E-3</v>
      </c>
      <c r="M139" s="16">
        <f>[1]!MOVIMENTACOES[[#This Row],[COMISSÃO FINAL]]*([1]!MOVIMENTACOES[[#This Row],[PREÇO NET]]*[1]!MOVIMENTACOES[[#This Row],[Qtde]])</f>
        <v>25.118010000000002</v>
      </c>
      <c r="N139" s="14" t="str">
        <f>_xlfn.XLOOKUP(LEFT([1]!MOVIMENTACOES[[#This Row],[Código]],3),'[1]BASE DE FABRICANTES'!A:A,'[1]BASE DE FABRICANTES'!B:B,"VERIFICAR",0,1)</f>
        <v>BIOLAND</v>
      </c>
      <c r="O139" s="14">
        <f>[1]!MOVIMENTACOES[[#This Row],[PREÇO NET]]*[1]!MOVIMENTACOES[[#This Row],[Qtde]]</f>
        <v>5581.78</v>
      </c>
      <c r="P139" s="3" t="s">
        <v>434</v>
      </c>
      <c r="Q139" s="3" t="s">
        <v>435</v>
      </c>
      <c r="R139" s="3" t="s">
        <v>49</v>
      </c>
      <c r="S139" s="3" t="s">
        <v>89</v>
      </c>
      <c r="T139" s="6">
        <v>46041</v>
      </c>
      <c r="U139" s="6" t="s">
        <v>208</v>
      </c>
      <c r="V139" s="3" t="s">
        <v>91</v>
      </c>
      <c r="W139" s="3"/>
      <c r="X139" s="3"/>
      <c r="Y139" s="3" t="s">
        <v>867</v>
      </c>
      <c r="Z139" s="3" t="s">
        <v>868</v>
      </c>
      <c r="AA139" s="3" t="s">
        <v>869</v>
      </c>
      <c r="AB139" s="3"/>
      <c r="AC139" s="3" t="s">
        <v>870</v>
      </c>
      <c r="AD139" s="3" t="s">
        <v>43</v>
      </c>
      <c r="AE139" s="3" t="s">
        <v>44</v>
      </c>
      <c r="AF139" s="3" t="s">
        <v>45</v>
      </c>
      <c r="AG139" s="3" t="s">
        <v>46</v>
      </c>
      <c r="AH139" s="3" t="s">
        <v>116</v>
      </c>
      <c r="AI139" s="3" t="s">
        <v>110</v>
      </c>
      <c r="AJ139" s="4">
        <v>1</v>
      </c>
      <c r="AK139" s="4">
        <v>11</v>
      </c>
      <c r="AL139" s="4">
        <v>0</v>
      </c>
      <c r="AM139" s="5">
        <v>3715.8446784225998</v>
      </c>
      <c r="AN139" s="5">
        <v>6034.62</v>
      </c>
      <c r="AO139" s="5">
        <v>3715.8446784225998</v>
      </c>
      <c r="AP139" s="5">
        <v>6034.62</v>
      </c>
      <c r="AQ139" s="5">
        <v>6034.62</v>
      </c>
      <c r="AR139" s="5">
        <v>241.38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/>
      <c r="AY139" s="5"/>
      <c r="AZ139" s="5"/>
      <c r="BA139" s="5">
        <v>6034.62</v>
      </c>
      <c r="BB139" s="5">
        <v>392.25</v>
      </c>
      <c r="BC139" s="5">
        <v>0</v>
      </c>
      <c r="BD139" s="5">
        <v>5793.24</v>
      </c>
      <c r="BE139" s="5">
        <v>37.659999999999997</v>
      </c>
      <c r="BF139" s="5">
        <v>0</v>
      </c>
      <c r="BG139" s="5">
        <v>5793.24</v>
      </c>
      <c r="BH139" s="5">
        <v>173.8</v>
      </c>
      <c r="BI139" s="5">
        <v>0</v>
      </c>
      <c r="BJ139" s="5">
        <v>0</v>
      </c>
      <c r="BK139" s="5">
        <v>0</v>
      </c>
      <c r="BL139" s="3" t="s">
        <v>49</v>
      </c>
      <c r="BM139" s="3"/>
      <c r="BN139" s="3" t="s">
        <v>97</v>
      </c>
      <c r="BO139" s="3" t="s">
        <v>51</v>
      </c>
      <c r="BP139" s="3" t="s">
        <v>441</v>
      </c>
      <c r="BQ139" s="6">
        <v>46686</v>
      </c>
    </row>
    <row r="140" spans="1:69" x14ac:dyDescent="0.25">
      <c r="A140" s="11" t="str">
        <f>LEFT([1]!MOVIMENTACOES[[#This Row],[Código]],9)</f>
        <v>067004016</v>
      </c>
      <c r="B140" s="11" t="s">
        <v>204</v>
      </c>
      <c r="C140" s="11" t="str">
        <f>TRIM(IFERROR(LEFT([1]!MOVIMENTACOES[[#This Row],[Descrição]],SEARCH([1]!MOVIMENTACOES[[#This Row],[EMBALAGEM]],[1]!MOVIMENTACOES[[#This Row],[Descrição]],1)-1),[1]!MOVIMENTACOES[[#This Row],[Descrição]]))</f>
        <v>SALICYLIC ACID</v>
      </c>
      <c r="D140" s="11" t="str">
        <f>_xlfn.CONCAT([1]!MOVIMENTACOES[[#This Row],[FABRICANTE]],[1]!MOVIMENTACOES[[#This Row],[DESCRIÇÃO SEM EMBALAGEM]],[1]!MOVIMENTACOES[[#This Row],[Coluna1]])</f>
        <v>CHEMAXCELSALICYLIC ACID25</v>
      </c>
      <c r="E140" s="12">
        <f>_xlfn.XLOOKUP([1]!MOVIMENTACOES[[#This Row],[CONCAT]],'[2]PRICE LIST'!$G:$G,'[2]PRICE LIST'!$Q:$Q,"VERIFICAR",0,1)</f>
        <v>14.499999999999998</v>
      </c>
      <c r="F140" s="13">
        <f>_xlfn.XLOOKUP([1]!MOVIMENTACOES[[#This Row],[Data]],[1]PTAX!A:A,[1]PTAX!C:C,"VERIFICAR",0,1)*[1]!MOVIMENTACOES[[#This Row],[PREÇO DE LISTA DOLAR]]</f>
        <v>77.788149999999987</v>
      </c>
      <c r="G140" s="14">
        <f>[1]!MOVIMENTACOES[[#This Row],[PREÇO NET]]-[1]!MOVIMENTACOES[[#This Row],[PREÇO DE LISTA REAL]]</f>
        <v>-20.468374999999988</v>
      </c>
      <c r="H140" s="15">
        <f>-[1]!MOVIMENTACOES[[#This Row],[DESCONTO CONCEDIDO]]/[1]!MOVIMENTACOES[[#This Row],[PREÇO DE LISTA REAL]]</f>
        <v>0.26312973119941779</v>
      </c>
      <c r="I14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57.319775</v>
      </c>
      <c r="J140" s="15">
        <f>VLOOKUP([1]!MOVIMENTACOES[[#This Row],[DESC %]],[1]!DESC[#Data],2,TRUE)</f>
        <v>2.5000000000000001E-3</v>
      </c>
      <c r="K140" s="15">
        <f>_xlfn.XLOOKUP([1]!MOVIMENTACOES[[#This Row],[NF-e]],'[1]PEDIDOS E COMISSOES'!A:A,'[1]PEDIDOS E COMISSOES'!E:E,"VERIFICAR",0,1)</f>
        <v>-1.5E-3</v>
      </c>
      <c r="L140" s="15">
        <f>IF([1]!MOVIMENTACOES[[#This Row],[PERCENTUAL DE COMISSÕES]]+[1]!MOVIMENTACOES[[#This Row],[AJUSTE COMISSÃO]]&lt;0.06%,0.05%,[1]!MOVIMENTACOES[[#This Row],[PERCENTUAL DE COMISSÕES]]+[1]!MOVIMENTACOES[[#This Row],[AJUSTE COMISSÃO]])</f>
        <v>1E-3</v>
      </c>
      <c r="M140" s="16">
        <f>[1]!MOVIMENTACOES[[#This Row],[COMISSÃO FINAL]]*([1]!MOVIMENTACOES[[#This Row],[PREÇO NET]]*[1]!MOVIMENTACOES[[#This Row],[Qtde]])</f>
        <v>22.927910000000001</v>
      </c>
      <c r="N140" s="14" t="str">
        <f>_xlfn.XLOOKUP(LEFT([1]!MOVIMENTACOES[[#This Row],[Código]],3),'[1]BASE DE FABRICANTES'!A:A,'[1]BASE DE FABRICANTES'!B:B,"VERIFICAR",0,1)</f>
        <v>CHEMAXCEL</v>
      </c>
      <c r="O140" s="14">
        <f>[1]!MOVIMENTACOES[[#This Row],[PREÇO NET]]*[1]!MOVIMENTACOES[[#This Row],[Qtde]]</f>
        <v>22927.91</v>
      </c>
      <c r="P140" s="17" t="s">
        <v>618</v>
      </c>
      <c r="Q140" s="17" t="s">
        <v>619</v>
      </c>
      <c r="R140" s="17" t="s">
        <v>49</v>
      </c>
      <c r="S140" s="17" t="s">
        <v>620</v>
      </c>
      <c r="T140" s="18">
        <v>46041</v>
      </c>
      <c r="U140" s="18" t="s">
        <v>871</v>
      </c>
      <c r="V140" s="17" t="s">
        <v>91</v>
      </c>
      <c r="W140" s="17"/>
      <c r="X140" s="17"/>
      <c r="Y140" s="17" t="s">
        <v>872</v>
      </c>
      <c r="Z140" s="17" t="s">
        <v>873</v>
      </c>
      <c r="AA140" s="17" t="s">
        <v>874</v>
      </c>
      <c r="AB140" s="17"/>
      <c r="AC140" s="17" t="s">
        <v>791</v>
      </c>
      <c r="AD140" s="17" t="s">
        <v>134</v>
      </c>
      <c r="AE140" s="17" t="s">
        <v>44</v>
      </c>
      <c r="AF140" s="17" t="s">
        <v>45</v>
      </c>
      <c r="AG140" s="17" t="s">
        <v>46</v>
      </c>
      <c r="AH140" s="17" t="s">
        <v>116</v>
      </c>
      <c r="AI140" s="17" t="s">
        <v>360</v>
      </c>
      <c r="AJ140" s="19">
        <v>400</v>
      </c>
      <c r="AK140" s="19">
        <v>50</v>
      </c>
      <c r="AL140" s="19">
        <v>850</v>
      </c>
      <c r="AM140" s="20">
        <v>22.025158685200001</v>
      </c>
      <c r="AN140" s="20">
        <v>61.97</v>
      </c>
      <c r="AO140" s="20">
        <v>8810.0634740799997</v>
      </c>
      <c r="AP140" s="20">
        <v>24788</v>
      </c>
      <c r="AQ140" s="20">
        <v>24788</v>
      </c>
      <c r="AR140" s="20">
        <v>991.52</v>
      </c>
      <c r="AS140" s="20">
        <v>0</v>
      </c>
      <c r="AT140" s="20">
        <v>0</v>
      </c>
      <c r="AU140" s="20">
        <v>0</v>
      </c>
      <c r="AV140" s="20">
        <v>0</v>
      </c>
      <c r="AW140" s="20">
        <v>0</v>
      </c>
      <c r="AX140" s="20"/>
      <c r="AY140" s="20"/>
      <c r="AZ140" s="20"/>
      <c r="BA140" s="20">
        <v>0</v>
      </c>
      <c r="BB140" s="20">
        <v>0</v>
      </c>
      <c r="BC140" s="20">
        <v>0</v>
      </c>
      <c r="BD140" s="20">
        <v>23796.48</v>
      </c>
      <c r="BE140" s="20">
        <v>154.68</v>
      </c>
      <c r="BF140" s="20">
        <v>0</v>
      </c>
      <c r="BG140" s="20">
        <v>23796.48</v>
      </c>
      <c r="BH140" s="20">
        <v>713.89</v>
      </c>
      <c r="BI140" s="20">
        <v>0</v>
      </c>
      <c r="BJ140" s="20">
        <v>0</v>
      </c>
      <c r="BK140" s="20">
        <v>0</v>
      </c>
      <c r="BL140" s="17" t="s">
        <v>49</v>
      </c>
      <c r="BM140" s="17"/>
      <c r="BN140" s="17" t="s">
        <v>97</v>
      </c>
      <c r="BO140" s="17" t="s">
        <v>51</v>
      </c>
      <c r="BP140" s="17" t="s">
        <v>875</v>
      </c>
      <c r="BQ140" s="18">
        <v>47047</v>
      </c>
    </row>
    <row r="141" spans="1:69" x14ac:dyDescent="0.25">
      <c r="A141" s="11" t="str">
        <f>LEFT([1]!MOVIMENTACOES[[#This Row],[Código]],9)</f>
        <v>112004001</v>
      </c>
      <c r="B141" s="11" t="s">
        <v>230</v>
      </c>
      <c r="C141" s="11" t="str">
        <f>TRIM(IFERROR(LEFT([1]!MOVIMENTACOES[[#This Row],[Descrição]],SEARCH([1]!MOVIMENTACOES[[#This Row],[EMBALAGEM]],[1]!MOVIMENTACOES[[#This Row],[Descrição]],1)-1),[1]!MOVIMENTACOES[[#This Row],[Descrição]]))</f>
        <v>NATORI GEM SPICULE</v>
      </c>
      <c r="D141" s="11" t="str">
        <f>_xlfn.CONCAT([1]!MOVIMENTACOES[[#This Row],[FABRICANTE]],[1]!MOVIMENTACOES[[#This Row],[DESCRIÇÃO SEM EMBALAGEM]],[1]!MOVIMENTACOES[[#This Row],[Coluna1]])</f>
        <v>ECOORINATORI GEM SPICULE10</v>
      </c>
      <c r="E141" s="12">
        <f>_xlfn.XLOOKUP([1]!MOVIMENTACOES[[#This Row],[CONCAT]],'[2]PRICE LIST'!$G:$G,'[2]PRICE LIST'!$Q:$Q,"VERIFICAR",0,1)</f>
        <v>2074</v>
      </c>
      <c r="F141" s="13">
        <f>_xlfn.XLOOKUP([1]!MOVIMENTACOES[[#This Row],[Data]],[1]PTAX!A:A,[1]PTAX!C:C,"VERIFICAR",0,1)*[1]!MOVIMENTACOES[[#This Row],[PREÇO DE LISTA DOLAR]]</f>
        <v>11126.3878</v>
      </c>
      <c r="G141" s="14">
        <f>[1]!MOVIMENTACOES[[#This Row],[PREÇO NET]]-[1]!MOVIMENTACOES[[#This Row],[PREÇO DE LISTA REAL]]</f>
        <v>-3431.4512000000013</v>
      </c>
      <c r="H141" s="15">
        <f>-[1]!MOVIMENTACOES[[#This Row],[DESCONTO CONCEDIDO]]/[1]!MOVIMENTACOES[[#This Row],[PREÇO DE LISTA REAL]]</f>
        <v>0.30840657917747583</v>
      </c>
      <c r="I14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7694.9365999999991</v>
      </c>
      <c r="J141" s="15">
        <f>VLOOKUP([1]!MOVIMENTACOES[[#This Row],[DESC %]],[1]!DESC[#Data],2,TRUE)</f>
        <v>2.5000000000000001E-3</v>
      </c>
      <c r="K141" s="15">
        <f>_xlfn.XLOOKUP([1]!MOVIMENTACOES[[#This Row],[NF-e]],'[1]PEDIDOS E COMISSOES'!A:A,'[1]PEDIDOS E COMISSOES'!E:E,"VERIFICAR",0,1)</f>
        <v>-1.5E-3</v>
      </c>
      <c r="L141" s="15">
        <f>IF([1]!MOVIMENTACOES[[#This Row],[PERCENTUAL DE COMISSÕES]]+[1]!MOVIMENTACOES[[#This Row],[AJUSTE COMISSÃO]]&lt;0.06%,0.05%,[1]!MOVIMENTACOES[[#This Row],[PERCENTUAL DE COMISSÕES]]+[1]!MOVIMENTACOES[[#This Row],[AJUSTE COMISSÃO]])</f>
        <v>1E-3</v>
      </c>
      <c r="M141" s="16">
        <f>[1]!MOVIMENTACOES[[#This Row],[COMISSÃO FINAL]]*([1]!MOVIMENTACOES[[#This Row],[PREÇO NET]]*[1]!MOVIMENTACOES[[#This Row],[Qtde]])</f>
        <v>384.74682999999999</v>
      </c>
      <c r="N141" s="14" t="str">
        <f>_xlfn.XLOOKUP(LEFT([1]!MOVIMENTACOES[[#This Row],[Código]],3),'[1]BASE DE FABRICANTES'!A:A,'[1]BASE DE FABRICANTES'!B:B,"VERIFICAR",0,1)</f>
        <v>ECOORI</v>
      </c>
      <c r="O141" s="14">
        <f>[1]!MOVIMENTACOES[[#This Row],[PREÇO NET]]*[1]!MOVIMENTACOES[[#This Row],[Qtde]]</f>
        <v>384746.82999999996</v>
      </c>
      <c r="P141" s="3" t="s">
        <v>876</v>
      </c>
      <c r="Q141" s="3" t="s">
        <v>877</v>
      </c>
      <c r="R141" s="3" t="s">
        <v>49</v>
      </c>
      <c r="S141" s="3" t="s">
        <v>89</v>
      </c>
      <c r="T141" s="6">
        <v>46041</v>
      </c>
      <c r="U141" s="6" t="s">
        <v>878</v>
      </c>
      <c r="V141" s="3" t="s">
        <v>91</v>
      </c>
      <c r="W141" s="3"/>
      <c r="X141" s="3"/>
      <c r="Y141" s="3" t="s">
        <v>879</v>
      </c>
      <c r="Z141" s="3" t="s">
        <v>880</v>
      </c>
      <c r="AA141" s="3" t="s">
        <v>881</v>
      </c>
      <c r="AB141" s="3"/>
      <c r="AC141" s="3" t="s">
        <v>791</v>
      </c>
      <c r="AD141" s="3" t="s">
        <v>882</v>
      </c>
      <c r="AE141" s="3" t="s">
        <v>44</v>
      </c>
      <c r="AF141" s="3" t="s">
        <v>45</v>
      </c>
      <c r="AG141" s="3" t="s">
        <v>46</v>
      </c>
      <c r="AH141" s="3" t="s">
        <v>116</v>
      </c>
      <c r="AI141" s="3" t="s">
        <v>360</v>
      </c>
      <c r="AJ141" s="4">
        <v>50</v>
      </c>
      <c r="AK141" s="4">
        <v>0</v>
      </c>
      <c r="AL141" s="4">
        <v>0</v>
      </c>
      <c r="AM141" s="5">
        <v>4784.9032484773998</v>
      </c>
      <c r="AN141" s="5">
        <v>8319.2099999999991</v>
      </c>
      <c r="AO141" s="5">
        <v>239245.16242387</v>
      </c>
      <c r="AP141" s="5">
        <v>415960.5</v>
      </c>
      <c r="AQ141" s="5">
        <v>415960.5</v>
      </c>
      <c r="AR141" s="5">
        <v>16638.419999999998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/>
      <c r="AY141" s="5"/>
      <c r="AZ141" s="5"/>
      <c r="BA141" s="5">
        <v>415960.5</v>
      </c>
      <c r="BB141" s="5">
        <v>27037.43</v>
      </c>
      <c r="BC141" s="5">
        <v>0</v>
      </c>
      <c r="BD141" s="5">
        <v>399322.08</v>
      </c>
      <c r="BE141" s="5">
        <v>2595.59</v>
      </c>
      <c r="BF141" s="5">
        <v>0</v>
      </c>
      <c r="BG141" s="5">
        <v>399322.08</v>
      </c>
      <c r="BH141" s="5">
        <v>11979.66</v>
      </c>
      <c r="BI141" s="5">
        <v>0</v>
      </c>
      <c r="BJ141" s="5">
        <v>0</v>
      </c>
      <c r="BK141" s="5">
        <v>0</v>
      </c>
      <c r="BL141" s="3" t="s">
        <v>49</v>
      </c>
      <c r="BM141" s="3"/>
      <c r="BN141" s="3" t="s">
        <v>97</v>
      </c>
      <c r="BO141" s="3" t="s">
        <v>51</v>
      </c>
      <c r="BP141" s="3" t="s">
        <v>883</v>
      </c>
      <c r="BQ141" s="6">
        <v>46184</v>
      </c>
    </row>
    <row r="142" spans="1:69" x14ac:dyDescent="0.25">
      <c r="A142" s="11" t="str">
        <f>LEFT([1]!MOVIMENTACOES[[#This Row],[Código]],9)</f>
        <v>002004121</v>
      </c>
      <c r="B142" s="11" t="s">
        <v>149</v>
      </c>
      <c r="C142" s="11" t="str">
        <f>TRIM(IFERROR(LEFT([1]!MOVIMENTACOES[[#This Row],[Descrição]],SEARCH([1]!MOVIMENTACOES[[#This Row],[EMBALAGEM]],[1]!MOVIMENTACOES[[#This Row],[Descrição]],1)-1),[1]!MOVIMENTACOES[[#This Row],[Descrição]]))</f>
        <v>CENTELLA PHYTO-EXOSOME</v>
      </c>
      <c r="D142" s="11" t="str">
        <f>_xlfn.CONCAT([1]!MOVIMENTACOES[[#This Row],[FABRICANTE]],[1]!MOVIMENTACOES[[#This Row],[DESCRIÇÃO SEM EMBALAGEM]],[1]!MOVIMENTACOES[[#This Row],[Coluna1]])</f>
        <v>BIOLANDCENTELLA PHYTO-EXOSOME1</v>
      </c>
      <c r="E142" s="12">
        <f>_xlfn.XLOOKUP([1]!MOVIMENTACOES[[#This Row],[CONCAT]],'[2]PRICE LIST'!$G:$G,'[2]PRICE LIST'!$Q:$Q,"VERIFICAR",0,1)</f>
        <v>798.03563124999994</v>
      </c>
      <c r="F142" s="13">
        <f>_xlfn.XLOOKUP([1]!MOVIMENTACOES[[#This Row],[Data]],[1]PTAX!A:A,[1]PTAX!C:C,"VERIFICAR",0,1)*[1]!MOVIMENTACOES[[#This Row],[PREÇO DE LISTA DOLAR]]</f>
        <v>4281.2217509668744</v>
      </c>
      <c r="G142" s="14">
        <f>[1]!MOVIMENTACOES[[#This Row],[PREÇO NET]]-[1]!MOVIMENTACOES[[#This Row],[PREÇO DE LISTA REAL]]</f>
        <v>-1621.0017509668742</v>
      </c>
      <c r="H142" s="15">
        <f>-[1]!MOVIMENTACOES[[#This Row],[DESCONTO CONCEDIDO]]/[1]!MOVIMENTACOES[[#This Row],[PREÇO DE LISTA REAL]]</f>
        <v>0.37863064453523948</v>
      </c>
      <c r="I14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2660.2200000000003</v>
      </c>
      <c r="J142" s="15">
        <f>VLOOKUP([1]!MOVIMENTACOES[[#This Row],[DESC %]],[1]!DESC[#Data],2,TRUE)</f>
        <v>2.5000000000000001E-3</v>
      </c>
      <c r="K142" s="15">
        <f>_xlfn.XLOOKUP([1]!MOVIMENTACOES[[#This Row],[NF-e]],'[1]PEDIDOS E COMISSOES'!A:A,'[1]PEDIDOS E COMISSOES'!E:E,"VERIFICAR",0,1)</f>
        <v>2E-3</v>
      </c>
      <c r="L142" s="15">
        <f>IF([1]!MOVIMENTACOES[[#This Row],[PERCENTUAL DE COMISSÕES]]+[1]!MOVIMENTACOES[[#This Row],[AJUSTE COMISSÃO]]&lt;0.06%,0.05%,[1]!MOVIMENTACOES[[#This Row],[PERCENTUAL DE COMISSÕES]]+[1]!MOVIMENTACOES[[#This Row],[AJUSTE COMISSÃO]])</f>
        <v>4.5000000000000005E-3</v>
      </c>
      <c r="M142" s="16">
        <f>[1]!MOVIMENTACOES[[#This Row],[COMISSÃO FINAL]]*([1]!MOVIMENTACOES[[#This Row],[PREÇO NET]]*[1]!MOVIMENTACOES[[#This Row],[Qtde]])</f>
        <v>11.970990000000002</v>
      </c>
      <c r="N142" s="14" t="str">
        <f>_xlfn.XLOOKUP(LEFT([1]!MOVIMENTACOES[[#This Row],[Código]],3),'[1]BASE DE FABRICANTES'!A:A,'[1]BASE DE FABRICANTES'!B:B,"VERIFICAR",0,1)</f>
        <v>BIOLAND</v>
      </c>
      <c r="O142" s="14">
        <f>[1]!MOVIMENTACOES[[#This Row],[PREÇO NET]]*[1]!MOVIMENTACOES[[#This Row],[Qtde]]</f>
        <v>2660.2200000000003</v>
      </c>
      <c r="P142" s="17" t="s">
        <v>884</v>
      </c>
      <c r="Q142" s="17" t="s">
        <v>885</v>
      </c>
      <c r="R142" s="17" t="s">
        <v>49</v>
      </c>
      <c r="S142" s="17" t="s">
        <v>89</v>
      </c>
      <c r="T142" s="18">
        <v>46041</v>
      </c>
      <c r="U142" s="18" t="s">
        <v>208</v>
      </c>
      <c r="V142" s="17" t="s">
        <v>91</v>
      </c>
      <c r="W142" s="17"/>
      <c r="X142" s="17"/>
      <c r="Y142" s="17" t="s">
        <v>867</v>
      </c>
      <c r="Z142" s="17" t="s">
        <v>868</v>
      </c>
      <c r="AA142" s="17" t="s">
        <v>869</v>
      </c>
      <c r="AB142" s="17"/>
      <c r="AC142" s="17" t="s">
        <v>870</v>
      </c>
      <c r="AD142" s="17"/>
      <c r="AE142" s="17" t="s">
        <v>44</v>
      </c>
      <c r="AF142" s="17" t="s">
        <v>45</v>
      </c>
      <c r="AG142" s="17" t="s">
        <v>46</v>
      </c>
      <c r="AH142" s="17" t="s">
        <v>116</v>
      </c>
      <c r="AI142" s="17" t="s">
        <v>110</v>
      </c>
      <c r="AJ142" s="19">
        <v>1</v>
      </c>
      <c r="AK142" s="19">
        <v>5</v>
      </c>
      <c r="AL142" s="19">
        <v>0</v>
      </c>
      <c r="AM142" s="20">
        <v>1264.0016666667</v>
      </c>
      <c r="AN142" s="20">
        <v>2876.04</v>
      </c>
      <c r="AO142" s="20">
        <v>1264.0016666667</v>
      </c>
      <c r="AP142" s="20">
        <v>2876.04</v>
      </c>
      <c r="AQ142" s="20">
        <v>2876.04</v>
      </c>
      <c r="AR142" s="20">
        <v>115.04</v>
      </c>
      <c r="AS142" s="20">
        <v>0</v>
      </c>
      <c r="AT142" s="20">
        <v>0</v>
      </c>
      <c r="AU142" s="20">
        <v>0</v>
      </c>
      <c r="AV142" s="20">
        <v>0</v>
      </c>
      <c r="AW142" s="20">
        <v>0</v>
      </c>
      <c r="AX142" s="20"/>
      <c r="AY142" s="20"/>
      <c r="AZ142" s="20"/>
      <c r="BA142" s="20">
        <v>2876.04</v>
      </c>
      <c r="BB142" s="20">
        <v>186.94</v>
      </c>
      <c r="BC142" s="20">
        <v>0</v>
      </c>
      <c r="BD142" s="20">
        <v>2761</v>
      </c>
      <c r="BE142" s="20">
        <v>17.95</v>
      </c>
      <c r="BF142" s="20">
        <v>0</v>
      </c>
      <c r="BG142" s="20">
        <v>2761</v>
      </c>
      <c r="BH142" s="20">
        <v>82.83</v>
      </c>
      <c r="BI142" s="20">
        <v>0</v>
      </c>
      <c r="BJ142" s="20">
        <v>0</v>
      </c>
      <c r="BK142" s="20">
        <v>0</v>
      </c>
      <c r="BL142" s="17" t="s">
        <v>49</v>
      </c>
      <c r="BM142" s="17"/>
      <c r="BN142" s="17" t="s">
        <v>97</v>
      </c>
      <c r="BO142" s="17" t="s">
        <v>51</v>
      </c>
      <c r="BP142" s="17" t="s">
        <v>449</v>
      </c>
      <c r="BQ142" s="18">
        <v>46602</v>
      </c>
    </row>
    <row r="143" spans="1:69" x14ac:dyDescent="0.25">
      <c r="A143" s="11" t="str">
        <f>LEFT([1]!MOVIMENTACOES[[#This Row],[Código]],9)</f>
        <v>002004119</v>
      </c>
      <c r="B143" s="11" t="s">
        <v>149</v>
      </c>
      <c r="C143" s="11" t="str">
        <f>TRIM(IFERROR(LEFT([1]!MOVIMENTACOES[[#This Row],[Descrição]],SEARCH([1]!MOVIMENTACOES[[#This Row],[EMBALAGEM]],[1]!MOVIMENTACOES[[#This Row],[Descrição]],1)-1),[1]!MOVIMENTACOES[[#This Row],[Descrição]]))</f>
        <v>RICE PDRN (ED)</v>
      </c>
      <c r="D143" s="11" t="str">
        <f>_xlfn.CONCAT([1]!MOVIMENTACOES[[#This Row],[FABRICANTE]],[1]!MOVIMENTACOES[[#This Row],[DESCRIÇÃO SEM EMBALAGEM]],[1]!MOVIMENTACOES[[#This Row],[Coluna1]])</f>
        <v>BIOLANDRICE PDRN (ED)1</v>
      </c>
      <c r="E143" s="12">
        <f>_xlfn.XLOOKUP([1]!MOVIMENTACOES[[#This Row],[CONCAT]],'[2]PRICE LIST'!$G:$G,'[2]PRICE LIST'!$Q:$Q,"VERIFICAR",0,1)</f>
        <v>1733.8541049999999</v>
      </c>
      <c r="F143" s="13">
        <f>_xlfn.XLOOKUP([1]!MOVIMENTACOES[[#This Row],[Data]],[1]PTAX!A:A,[1]PTAX!C:C,"VERIFICAR",0,1)*[1]!MOVIMENTACOES[[#This Row],[PREÇO DE LISTA DOLAR]]</f>
        <v>9301.6071170934993</v>
      </c>
      <c r="G143" s="14">
        <f>[1]!MOVIMENTACOES[[#This Row],[PREÇO NET]]-[1]!MOVIMENTACOES[[#This Row],[PREÇO DE LISTA REAL]]</f>
        <v>-3743.5048948712765</v>
      </c>
      <c r="H143" s="15">
        <f>-[1]!MOVIMENTACOES[[#This Row],[DESCONTO CONCEDIDO]]/[1]!MOVIMENTACOES[[#This Row],[PREÇO DE LISTA REAL]]</f>
        <v>0.40245785999624339</v>
      </c>
      <c r="I14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5558.1022222222227</v>
      </c>
      <c r="J143" s="15">
        <f>VLOOKUP([1]!MOVIMENTACOES[[#This Row],[DESC %]],[1]!DESC[#Data],2,TRUE)</f>
        <v>2.5000000000000001E-3</v>
      </c>
      <c r="K143" s="15">
        <f>_xlfn.XLOOKUP([1]!MOVIMENTACOES[[#This Row],[NF-e]],'[1]PEDIDOS E COMISSOES'!A:A,'[1]PEDIDOS E COMISSOES'!E:E,"VERIFICAR",0,1)</f>
        <v>-1.5E-3</v>
      </c>
      <c r="L143" s="15">
        <f>IF([1]!MOVIMENTACOES[[#This Row],[PERCENTUAL DE COMISSÕES]]+[1]!MOVIMENTACOES[[#This Row],[AJUSTE COMISSÃO]]&lt;0.06%,0.05%,[1]!MOVIMENTACOES[[#This Row],[PERCENTUAL DE COMISSÕES]]+[1]!MOVIMENTACOES[[#This Row],[AJUSTE COMISSÃO]])</f>
        <v>1E-3</v>
      </c>
      <c r="M143" s="16">
        <f>[1]!MOVIMENTACOES[[#This Row],[COMISSÃO FINAL]]*([1]!MOVIMENTACOES[[#This Row],[PREÇO NET]]*[1]!MOVIMENTACOES[[#This Row],[Qtde]])</f>
        <v>50.022920000000006</v>
      </c>
      <c r="N143" s="14" t="str">
        <f>_xlfn.XLOOKUP(LEFT([1]!MOVIMENTACOES[[#This Row],[Código]],3),'[1]BASE DE FABRICANTES'!A:A,'[1]BASE DE FABRICANTES'!B:B,"VERIFICAR",0,1)</f>
        <v>BIOLAND</v>
      </c>
      <c r="O143" s="14">
        <f>[1]!MOVIMENTACOES[[#This Row],[PREÇO NET]]*[1]!MOVIMENTACOES[[#This Row],[Qtde]]</f>
        <v>50022.920000000006</v>
      </c>
      <c r="P143" s="3" t="s">
        <v>434</v>
      </c>
      <c r="Q143" s="3" t="s">
        <v>435</v>
      </c>
      <c r="R143" s="3" t="s">
        <v>49</v>
      </c>
      <c r="S143" s="3" t="s">
        <v>89</v>
      </c>
      <c r="T143" s="6">
        <v>46041</v>
      </c>
      <c r="U143" s="6" t="s">
        <v>878</v>
      </c>
      <c r="V143" s="3" t="s">
        <v>91</v>
      </c>
      <c r="W143" s="3"/>
      <c r="X143" s="3"/>
      <c r="Y143" s="3" t="s">
        <v>879</v>
      </c>
      <c r="Z143" s="3" t="s">
        <v>880</v>
      </c>
      <c r="AA143" s="3" t="s">
        <v>881</v>
      </c>
      <c r="AB143" s="3"/>
      <c r="AC143" s="3" t="s">
        <v>791</v>
      </c>
      <c r="AD143" s="3" t="s">
        <v>43</v>
      </c>
      <c r="AE143" s="3" t="s">
        <v>44</v>
      </c>
      <c r="AF143" s="3" t="s">
        <v>45</v>
      </c>
      <c r="AG143" s="3" t="s">
        <v>46</v>
      </c>
      <c r="AH143" s="3" t="s">
        <v>116</v>
      </c>
      <c r="AI143" s="3" t="s">
        <v>360</v>
      </c>
      <c r="AJ143" s="4">
        <v>9</v>
      </c>
      <c r="AK143" s="4">
        <v>2</v>
      </c>
      <c r="AL143" s="4">
        <v>0</v>
      </c>
      <c r="AM143" s="5">
        <v>3715.8446784225998</v>
      </c>
      <c r="AN143" s="5">
        <v>6009.02</v>
      </c>
      <c r="AO143" s="5">
        <v>33442.602105803402</v>
      </c>
      <c r="AP143" s="5">
        <v>54081.18</v>
      </c>
      <c r="AQ143" s="5">
        <v>54081.18</v>
      </c>
      <c r="AR143" s="5">
        <v>2163.25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/>
      <c r="AY143" s="5"/>
      <c r="AZ143" s="5"/>
      <c r="BA143" s="5">
        <v>54081.18</v>
      </c>
      <c r="BB143" s="5">
        <v>3515.28</v>
      </c>
      <c r="BC143" s="5">
        <v>0</v>
      </c>
      <c r="BD143" s="5">
        <v>51917.93</v>
      </c>
      <c r="BE143" s="5">
        <v>337.47</v>
      </c>
      <c r="BF143" s="5">
        <v>0</v>
      </c>
      <c r="BG143" s="5">
        <v>51917.93</v>
      </c>
      <c r="BH143" s="5">
        <v>1557.54</v>
      </c>
      <c r="BI143" s="5">
        <v>0</v>
      </c>
      <c r="BJ143" s="5">
        <v>0</v>
      </c>
      <c r="BK143" s="5">
        <v>0</v>
      </c>
      <c r="BL143" s="3" t="s">
        <v>49</v>
      </c>
      <c r="BM143" s="3"/>
      <c r="BN143" s="3" t="s">
        <v>97</v>
      </c>
      <c r="BO143" s="3" t="s">
        <v>51</v>
      </c>
      <c r="BP143" s="3" t="s">
        <v>474</v>
      </c>
      <c r="BQ143" s="6">
        <v>46695</v>
      </c>
    </row>
    <row r="144" spans="1:69" x14ac:dyDescent="0.25">
      <c r="A144" s="11" t="str">
        <f>LEFT([1]!MOVIMENTACOES[[#This Row],[Código]],9)</f>
        <v>030004008</v>
      </c>
      <c r="B144" s="11" t="s">
        <v>204</v>
      </c>
      <c r="C144" s="11" t="str">
        <f>TRIM(IFERROR(LEFT([1]!MOVIMENTACOES[[#This Row],[Descrição]],SEARCH([1]!MOVIMENTACOES[[#This Row],[EMBALAGEM]],[1]!MOVIMENTACOES[[#This Row],[Descrição]],1)-1),[1]!MOVIMENTACOES[[#This Row],[Descrição]]))</f>
        <v>TRANEXAMIC ACID</v>
      </c>
      <c r="D144" s="11" t="str">
        <f>_xlfn.CONCAT([1]!MOVIMENTACOES[[#This Row],[FABRICANTE]],[1]!MOVIMENTACOES[[#This Row],[DESCRIÇÃO SEM EMBALAGEM]],[1]!MOVIMENTACOES[[#This Row],[Coluna1]])</f>
        <v>SPEC CHEMTRANEXAMIC ACID25</v>
      </c>
      <c r="E144" s="12">
        <f>_xlfn.XLOOKUP([1]!MOVIMENTACOES[[#This Row],[CONCAT]],'[2]PRICE LIST'!$G:$G,'[2]PRICE LIST'!$Q:$Q,"VERIFICAR",0,1)</f>
        <v>200.02599999999998</v>
      </c>
      <c r="F144" s="13">
        <f>_xlfn.XLOOKUP([1]!MOVIMENTACOES[[#This Row],[Data]],[1]PTAX!A:A,[1]PTAX!C:C,"VERIFICAR",0,1)*[1]!MOVIMENTACOES[[#This Row],[PREÇO DE LISTA DOLAR]]</f>
        <v>1073.0794821999998</v>
      </c>
      <c r="G144" s="14">
        <f>[1]!MOVIMENTACOES[[#This Row],[PREÇO NET]]-[1]!MOVIMENTACOES[[#This Row],[PREÇO DE LISTA REAL]]</f>
        <v>582.05011780000041</v>
      </c>
      <c r="H144" s="15">
        <f>-[1]!MOVIMENTACOES[[#This Row],[DESCONTO CONCEDIDO]]/[1]!MOVIMENTACOES[[#This Row],[PREÇO DE LISTA REAL]]</f>
        <v>-0.54241100259106279</v>
      </c>
      <c r="I14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1655.1296000000002</v>
      </c>
      <c r="J144" s="15">
        <f>VLOOKUP([1]!MOVIMENTACOES[[#This Row],[DESC %]],[1]!DESC[#Data],2,TRUE)</f>
        <v>0.01</v>
      </c>
      <c r="K144" s="15">
        <f>_xlfn.XLOOKUP([1]!MOVIMENTACOES[[#This Row],[NF-e]],'[1]PEDIDOS E COMISSOES'!A:A,'[1]PEDIDOS E COMISSOES'!E:E,"VERIFICAR",0,1)</f>
        <v>-1E-3</v>
      </c>
      <c r="L144" s="15">
        <f>IF([1]!MOVIMENTACOES[[#This Row],[PERCENTUAL DE COMISSÕES]]+[1]!MOVIMENTACOES[[#This Row],[AJUSTE COMISSÃO]]&lt;0.06%,0.05%,[1]!MOVIMENTACOES[[#This Row],[PERCENTUAL DE COMISSÕES]]+[1]!MOVIMENTACOES[[#This Row],[AJUSTE COMISSÃO]])</f>
        <v>9.0000000000000011E-3</v>
      </c>
      <c r="M144" s="16">
        <f>[1]!MOVIMENTACOES[[#This Row],[COMISSÃO FINAL]]*([1]!MOVIMENTACOES[[#This Row],[PREÇO NET]]*[1]!MOVIMENTACOES[[#This Row],[Qtde]])</f>
        <v>1489.6166400000004</v>
      </c>
      <c r="N144" s="14" t="str">
        <f>_xlfn.XLOOKUP(LEFT([1]!MOVIMENTACOES[[#This Row],[Código]],3),'[1]BASE DE FABRICANTES'!A:A,'[1]BASE DE FABRICANTES'!B:B,"VERIFICAR",0,1)</f>
        <v>SPEC CHEM</v>
      </c>
      <c r="O144" s="14">
        <f>[1]!MOVIMENTACOES[[#This Row],[PREÇO NET]]*[1]!MOVIMENTACOES[[#This Row],[Qtde]]</f>
        <v>165512.96000000002</v>
      </c>
      <c r="P144" s="17" t="s">
        <v>533</v>
      </c>
      <c r="Q144" s="17" t="s">
        <v>534</v>
      </c>
      <c r="R144" s="17" t="s">
        <v>49</v>
      </c>
      <c r="S144" s="17" t="s">
        <v>535</v>
      </c>
      <c r="T144" s="18">
        <v>46041</v>
      </c>
      <c r="U144" s="18" t="s">
        <v>886</v>
      </c>
      <c r="V144" s="17" t="s">
        <v>91</v>
      </c>
      <c r="W144" s="17"/>
      <c r="X144" s="17"/>
      <c r="Y144" s="17" t="s">
        <v>887</v>
      </c>
      <c r="Z144" s="17" t="s">
        <v>888</v>
      </c>
      <c r="AA144" s="17" t="s">
        <v>889</v>
      </c>
      <c r="AB144" s="17"/>
      <c r="AC144" s="17" t="s">
        <v>107</v>
      </c>
      <c r="AD144" s="17" t="s">
        <v>165</v>
      </c>
      <c r="AE144" s="17" t="s">
        <v>44</v>
      </c>
      <c r="AF144" s="17" t="s">
        <v>45</v>
      </c>
      <c r="AG144" s="17" t="s">
        <v>46</v>
      </c>
      <c r="AH144" s="17" t="s">
        <v>116</v>
      </c>
      <c r="AI144" s="17" t="s">
        <v>110</v>
      </c>
      <c r="AJ144" s="19">
        <v>100</v>
      </c>
      <c r="AK144" s="19">
        <v>50</v>
      </c>
      <c r="AL144" s="19">
        <v>0</v>
      </c>
      <c r="AM144" s="20">
        <v>411.8940935219</v>
      </c>
      <c r="AN144" s="20">
        <v>1952.08</v>
      </c>
      <c r="AO144" s="20">
        <v>41189.409352189999</v>
      </c>
      <c r="AP144" s="20">
        <v>195208</v>
      </c>
      <c r="AQ144" s="20">
        <v>195208</v>
      </c>
      <c r="AR144" s="20">
        <v>23424.959999999999</v>
      </c>
      <c r="AS144" s="20">
        <v>0</v>
      </c>
      <c r="AT144" s="20">
        <v>0</v>
      </c>
      <c r="AU144" s="20">
        <v>0</v>
      </c>
      <c r="AV144" s="20">
        <v>0</v>
      </c>
      <c r="AW144" s="20">
        <v>0</v>
      </c>
      <c r="AX144" s="20"/>
      <c r="AY144" s="20"/>
      <c r="AZ144" s="20"/>
      <c r="BA144" s="20">
        <v>0</v>
      </c>
      <c r="BB144" s="20">
        <v>0</v>
      </c>
      <c r="BC144" s="20">
        <v>0</v>
      </c>
      <c r="BD144" s="20">
        <v>171783.04000000001</v>
      </c>
      <c r="BE144" s="20">
        <v>1116.5899999999999</v>
      </c>
      <c r="BF144" s="20">
        <v>0</v>
      </c>
      <c r="BG144" s="20">
        <v>171783.04000000001</v>
      </c>
      <c r="BH144" s="20">
        <v>5153.49</v>
      </c>
      <c r="BI144" s="20">
        <v>0</v>
      </c>
      <c r="BJ144" s="20">
        <v>0</v>
      </c>
      <c r="BK144" s="20">
        <v>0</v>
      </c>
      <c r="BL144" s="17" t="s">
        <v>49</v>
      </c>
      <c r="BM144" s="17"/>
      <c r="BN144" s="17" t="s">
        <v>97</v>
      </c>
      <c r="BO144" s="17" t="s">
        <v>51</v>
      </c>
      <c r="BP144" s="17" t="s">
        <v>617</v>
      </c>
      <c r="BQ144" s="18">
        <v>46916</v>
      </c>
    </row>
    <row r="145" spans="1:69" x14ac:dyDescent="0.25">
      <c r="A145" s="11" t="str">
        <f>LEFT([1]!MOVIMENTACOES[[#This Row],[Código]],9)</f>
        <v>002004119</v>
      </c>
      <c r="B145" s="11" t="s">
        <v>149</v>
      </c>
      <c r="C145" s="11" t="str">
        <f>TRIM(IFERROR(LEFT([1]!MOVIMENTACOES[[#This Row],[Descrição]],SEARCH([1]!MOVIMENTACOES[[#This Row],[EMBALAGEM]],[1]!MOVIMENTACOES[[#This Row],[Descrição]],1)-1),[1]!MOVIMENTACOES[[#This Row],[Descrição]]))</f>
        <v>RICE PDRN (ED)</v>
      </c>
      <c r="D145" s="11" t="str">
        <f>_xlfn.CONCAT([1]!MOVIMENTACOES[[#This Row],[FABRICANTE]],[1]!MOVIMENTACOES[[#This Row],[DESCRIÇÃO SEM EMBALAGEM]],[1]!MOVIMENTACOES[[#This Row],[Coluna1]])</f>
        <v>BIOLANDRICE PDRN (ED)1</v>
      </c>
      <c r="E145" s="12">
        <f>_xlfn.XLOOKUP([1]!MOVIMENTACOES[[#This Row],[CONCAT]],'[2]PRICE LIST'!$G:$G,'[2]PRICE LIST'!$Q:$Q,"VERIFICAR",0,1)</f>
        <v>1733.8541049999999</v>
      </c>
      <c r="F145" s="13">
        <f>_xlfn.XLOOKUP([1]!MOVIMENTACOES[[#This Row],[Data]],[1]PTAX!A:A,[1]PTAX!C:C,"VERIFICAR",0,1)*[1]!MOVIMENTACOES[[#This Row],[PREÇO DE LISTA DOLAR]]</f>
        <v>9301.6071170934993</v>
      </c>
      <c r="G145" s="14">
        <f>[1]!MOVIMENTACOES[[#This Row],[PREÇO NET]]-[1]!MOVIMENTACOES[[#This Row],[PREÇO DE LISTA REAL]]</f>
        <v>-3743.5071170934989</v>
      </c>
      <c r="H145" s="15">
        <f>-[1]!MOVIMENTACOES[[#This Row],[DESCONTO CONCEDIDO]]/[1]!MOVIMENTACOES[[#This Row],[PREÇO DE LISTA REAL]]</f>
        <v>0.40245809890358425</v>
      </c>
      <c r="I14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5558.1</v>
      </c>
      <c r="J145" s="15">
        <f>VLOOKUP([1]!MOVIMENTACOES[[#This Row],[DESC %]],[1]!DESC[#Data],2,TRUE)</f>
        <v>2.5000000000000001E-3</v>
      </c>
      <c r="K145" s="15">
        <f>_xlfn.XLOOKUP([1]!MOVIMENTACOES[[#This Row],[NF-e]],'[1]PEDIDOS E COMISSOES'!A:A,'[1]PEDIDOS E COMISSOES'!E:E,"VERIFICAR",0,1)</f>
        <v>-1.5E-3</v>
      </c>
      <c r="L145" s="15">
        <f>IF([1]!MOVIMENTACOES[[#This Row],[PERCENTUAL DE COMISSÕES]]+[1]!MOVIMENTACOES[[#This Row],[AJUSTE COMISSÃO]]&lt;0.06%,0.05%,[1]!MOVIMENTACOES[[#This Row],[PERCENTUAL DE COMISSÕES]]+[1]!MOVIMENTACOES[[#This Row],[AJUSTE COMISSÃO]])</f>
        <v>1E-3</v>
      </c>
      <c r="M145" s="16">
        <f>[1]!MOVIMENTACOES[[#This Row],[COMISSÃO FINAL]]*([1]!MOVIMENTACOES[[#This Row],[PREÇO NET]]*[1]!MOVIMENTACOES[[#This Row],[Qtde]])</f>
        <v>5.5581000000000005</v>
      </c>
      <c r="N145" s="14" t="str">
        <f>_xlfn.XLOOKUP(LEFT([1]!MOVIMENTACOES[[#This Row],[Código]],3),'[1]BASE DE FABRICANTES'!A:A,'[1]BASE DE FABRICANTES'!B:B,"VERIFICAR",0,1)</f>
        <v>BIOLAND</v>
      </c>
      <c r="O145" s="14">
        <f>[1]!MOVIMENTACOES[[#This Row],[PREÇO NET]]*[1]!MOVIMENTACOES[[#This Row],[Qtde]]</f>
        <v>5558.1</v>
      </c>
      <c r="P145" s="3" t="s">
        <v>434</v>
      </c>
      <c r="Q145" s="3" t="s">
        <v>435</v>
      </c>
      <c r="R145" s="3" t="s">
        <v>49</v>
      </c>
      <c r="S145" s="3" t="s">
        <v>89</v>
      </c>
      <c r="T145" s="6">
        <v>46041</v>
      </c>
      <c r="U145" s="6" t="s">
        <v>878</v>
      </c>
      <c r="V145" s="3" t="s">
        <v>91</v>
      </c>
      <c r="W145" s="3"/>
      <c r="X145" s="3"/>
      <c r="Y145" s="3" t="s">
        <v>879</v>
      </c>
      <c r="Z145" s="3" t="s">
        <v>880</v>
      </c>
      <c r="AA145" s="3" t="s">
        <v>881</v>
      </c>
      <c r="AB145" s="3"/>
      <c r="AC145" s="3" t="s">
        <v>791</v>
      </c>
      <c r="AD145" s="3" t="s">
        <v>43</v>
      </c>
      <c r="AE145" s="3" t="s">
        <v>44</v>
      </c>
      <c r="AF145" s="3" t="s">
        <v>45</v>
      </c>
      <c r="AG145" s="3" t="s">
        <v>46</v>
      </c>
      <c r="AH145" s="3" t="s">
        <v>116</v>
      </c>
      <c r="AI145" s="3" t="s">
        <v>360</v>
      </c>
      <c r="AJ145" s="4">
        <v>1</v>
      </c>
      <c r="AK145" s="4">
        <v>1</v>
      </c>
      <c r="AL145" s="4">
        <v>0</v>
      </c>
      <c r="AM145" s="5">
        <v>3715.8446784225998</v>
      </c>
      <c r="AN145" s="5">
        <v>6009.02</v>
      </c>
      <c r="AO145" s="5">
        <v>3715.8446784225998</v>
      </c>
      <c r="AP145" s="5">
        <v>6009.02</v>
      </c>
      <c r="AQ145" s="5">
        <v>6009.02</v>
      </c>
      <c r="AR145" s="5">
        <v>240.36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/>
      <c r="AY145" s="5"/>
      <c r="AZ145" s="5"/>
      <c r="BA145" s="5">
        <v>6009.02</v>
      </c>
      <c r="BB145" s="5">
        <v>390.59</v>
      </c>
      <c r="BC145" s="5">
        <v>0</v>
      </c>
      <c r="BD145" s="5">
        <v>5768.66</v>
      </c>
      <c r="BE145" s="5">
        <v>37.5</v>
      </c>
      <c r="BF145" s="5">
        <v>0</v>
      </c>
      <c r="BG145" s="5">
        <v>5768.66</v>
      </c>
      <c r="BH145" s="5">
        <v>173.06</v>
      </c>
      <c r="BI145" s="5">
        <v>0</v>
      </c>
      <c r="BJ145" s="5">
        <v>0</v>
      </c>
      <c r="BK145" s="5">
        <v>0</v>
      </c>
      <c r="BL145" s="3" t="s">
        <v>49</v>
      </c>
      <c r="BM145" s="3"/>
      <c r="BN145" s="3" t="s">
        <v>97</v>
      </c>
      <c r="BO145" s="3" t="s">
        <v>51</v>
      </c>
      <c r="BP145" s="3" t="s">
        <v>890</v>
      </c>
      <c r="BQ145" s="6">
        <v>46541</v>
      </c>
    </row>
    <row r="146" spans="1:69" x14ac:dyDescent="0.25">
      <c r="A146" s="11" t="str">
        <f>LEFT([1]!MOVIMENTACOES[[#This Row],[Código]],9)</f>
        <v>026005074</v>
      </c>
      <c r="B146" s="11" t="s">
        <v>204</v>
      </c>
      <c r="C146" s="11" t="str">
        <f>TRIM(IFERROR(LEFT([1]!MOVIMENTACOES[[#This Row],[Descrição]],SEARCH([1]!MOVIMENTACOES[[#This Row],[EMBALAGEM]],[1]!MOVIMENTACOES[[#This Row],[Descrição]],1)-1),[1]!MOVIMENTACOES[[#This Row],[Descrição]]))</f>
        <v>MICROEASE 1132</v>
      </c>
      <c r="D146" s="11" t="str">
        <f>_xlfn.CONCAT([1]!MOVIMENTACOES[[#This Row],[FABRICANTE]],[1]!MOVIMENTACOES[[#This Row],[DESCRIÇÃO SEM EMBALAGEM]],[1]!MOVIMENTACOES[[#This Row],[Coluna1]])</f>
        <v>MICRO POWDERSMICROEASE 113225</v>
      </c>
      <c r="E146" s="12">
        <f>_xlfn.XLOOKUP([1]!MOVIMENTACOES[[#This Row],[CONCAT]],'[2]PRICE LIST'!$G:$G,'[2]PRICE LIST'!$Q:$Q,"VERIFICAR",0,1)</f>
        <v>37.60324</v>
      </c>
      <c r="F146" s="13">
        <f>_xlfn.XLOOKUP([1]!MOVIMENTACOES[[#This Row],[Data]],[1]PTAX!A:A,[1]PTAX!C:C,"VERIFICAR",0,1)*[1]!MOVIMENTACOES[[#This Row],[PREÇO DE LISTA DOLAR]]</f>
        <v>201.730101628</v>
      </c>
      <c r="G146" s="14">
        <f>[1]!MOVIMENTACOES[[#This Row],[PREÇO NET]]-[1]!MOVIMENTACOES[[#This Row],[PREÇO DE LISTA REAL]]</f>
        <v>-3.6869016279999585</v>
      </c>
      <c r="H146" s="15">
        <f>-[1]!MOVIMENTACOES[[#This Row],[DESCONTO CONCEDIDO]]/[1]!MOVIMENTACOES[[#This Row],[PREÇO DE LISTA REAL]]</f>
        <v>1.8276407924479127E-2</v>
      </c>
      <c r="I14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198.04320000000004</v>
      </c>
      <c r="J146" s="15">
        <f>VLOOKUP([1]!MOVIMENTACOES[[#This Row],[DESC %]],[1]!DESC[#Data],2,TRUE)</f>
        <v>8.9999999999999993E-3</v>
      </c>
      <c r="K146" s="15">
        <f>_xlfn.XLOOKUP([1]!MOVIMENTACOES[[#This Row],[NF-e]],'[1]PEDIDOS E COMISSOES'!A:A,'[1]PEDIDOS E COMISSOES'!E:E,"VERIFICAR",0,1)</f>
        <v>1E-3</v>
      </c>
      <c r="L146" s="15">
        <f>IF([1]!MOVIMENTACOES[[#This Row],[PERCENTUAL DE COMISSÕES]]+[1]!MOVIMENTACOES[[#This Row],[AJUSTE COMISSÃO]]&lt;0.06%,0.05%,[1]!MOVIMENTACOES[[#This Row],[PERCENTUAL DE COMISSÕES]]+[1]!MOVIMENTACOES[[#This Row],[AJUSTE COMISSÃO]])</f>
        <v>9.9999999999999985E-3</v>
      </c>
      <c r="M146" s="16">
        <f>[1]!MOVIMENTACOES[[#This Row],[COMISSÃO FINAL]]*([1]!MOVIMENTACOES[[#This Row],[PREÇO NET]]*[1]!MOVIMENTACOES[[#This Row],[Qtde]])</f>
        <v>49.510800000000003</v>
      </c>
      <c r="N146" s="14" t="str">
        <f>_xlfn.XLOOKUP(LEFT([1]!MOVIMENTACOES[[#This Row],[Código]],3),'[1]BASE DE FABRICANTES'!A:A,'[1]BASE DE FABRICANTES'!B:B,"VERIFICAR",0,1)</f>
        <v>MICRO POWDERS</v>
      </c>
      <c r="O146" s="14">
        <f>[1]!MOVIMENTACOES[[#This Row],[PREÇO NET]]*[1]!MOVIMENTACOES[[#This Row],[Qtde]]</f>
        <v>4951.0800000000008</v>
      </c>
      <c r="P146" s="17" t="s">
        <v>891</v>
      </c>
      <c r="Q146" s="17" t="s">
        <v>892</v>
      </c>
      <c r="R146" s="17" t="s">
        <v>49</v>
      </c>
      <c r="S146" s="17" t="s">
        <v>572</v>
      </c>
      <c r="T146" s="18">
        <v>46041</v>
      </c>
      <c r="U146" s="18" t="s">
        <v>893</v>
      </c>
      <c r="V146" s="17" t="s">
        <v>91</v>
      </c>
      <c r="W146" s="17"/>
      <c r="X146" s="17"/>
      <c r="Y146" s="17" t="s">
        <v>894</v>
      </c>
      <c r="Z146" s="17" t="s">
        <v>895</v>
      </c>
      <c r="AA146" s="17" t="s">
        <v>896</v>
      </c>
      <c r="AB146" s="17"/>
      <c r="AC146" s="17" t="s">
        <v>897</v>
      </c>
      <c r="AD146" s="17" t="s">
        <v>576</v>
      </c>
      <c r="AE146" s="17" t="s">
        <v>44</v>
      </c>
      <c r="AF146" s="17" t="s">
        <v>45</v>
      </c>
      <c r="AG146" s="17" t="s">
        <v>46</v>
      </c>
      <c r="AH146" s="17" t="s">
        <v>202</v>
      </c>
      <c r="AI146" s="17" t="s">
        <v>110</v>
      </c>
      <c r="AJ146" s="19">
        <v>25</v>
      </c>
      <c r="AK146" s="19">
        <v>25</v>
      </c>
      <c r="AL146" s="19">
        <v>0</v>
      </c>
      <c r="AM146" s="20">
        <v>86.784330526399998</v>
      </c>
      <c r="AN146" s="20">
        <v>214.11</v>
      </c>
      <c r="AO146" s="20">
        <v>2169.6082631600002</v>
      </c>
      <c r="AP146" s="20">
        <v>5352.75</v>
      </c>
      <c r="AQ146" s="20">
        <v>5352.75</v>
      </c>
      <c r="AR146" s="20">
        <v>214.11</v>
      </c>
      <c r="AS146" s="20">
        <v>0</v>
      </c>
      <c r="AT146" s="20">
        <v>0</v>
      </c>
      <c r="AU146" s="20">
        <v>0</v>
      </c>
      <c r="AV146" s="20">
        <v>0</v>
      </c>
      <c r="AW146" s="20">
        <v>0</v>
      </c>
      <c r="AX146" s="20"/>
      <c r="AY146" s="20"/>
      <c r="AZ146" s="20"/>
      <c r="BA146" s="20">
        <v>0</v>
      </c>
      <c r="BB146" s="20">
        <v>0</v>
      </c>
      <c r="BC146" s="20">
        <v>0</v>
      </c>
      <c r="BD146" s="20">
        <v>5138.6400000000003</v>
      </c>
      <c r="BE146" s="20">
        <v>33.4</v>
      </c>
      <c r="BF146" s="20">
        <v>0</v>
      </c>
      <c r="BG146" s="20">
        <v>5138.6400000000003</v>
      </c>
      <c r="BH146" s="20">
        <v>154.16</v>
      </c>
      <c r="BI146" s="20">
        <v>0</v>
      </c>
      <c r="BJ146" s="20">
        <v>0</v>
      </c>
      <c r="BK146" s="20">
        <v>0</v>
      </c>
      <c r="BL146" s="17" t="s">
        <v>49</v>
      </c>
      <c r="BM146" s="17"/>
      <c r="BN146" s="17" t="s">
        <v>166</v>
      </c>
      <c r="BO146" s="17" t="s">
        <v>51</v>
      </c>
      <c r="BP146" s="17" t="s">
        <v>898</v>
      </c>
      <c r="BQ146" s="18">
        <v>47428</v>
      </c>
    </row>
    <row r="147" spans="1:69" x14ac:dyDescent="0.25">
      <c r="A147" s="11" t="str">
        <f>LEFT([1]!MOVIMENTACOES[[#This Row],[Código]],9)</f>
        <v>030004015</v>
      </c>
      <c r="B147" s="11" t="s">
        <v>566</v>
      </c>
      <c r="C147" s="11" t="str">
        <f>TRIM(IFERROR(LEFT([1]!MOVIMENTACOES[[#This Row],[Descrição]],SEARCH([1]!MOVIMENTACOES[[#This Row],[EMBALAGEM]],[1]!MOVIMENTACOES[[#This Row],[Descrição]],1)-1),[1]!MOVIMENTACOES[[#This Row],[Descrição]]))</f>
        <v>GLYCOLIC ACID 70%</v>
      </c>
      <c r="D147" s="11" t="str">
        <f>_xlfn.CONCAT([1]!MOVIMENTACOES[[#This Row],[FABRICANTE]],[1]!MOVIMENTACOES[[#This Row],[DESCRIÇÃO SEM EMBALAGEM]],[1]!MOVIMENTACOES[[#This Row],[Coluna1]])</f>
        <v>SPEC CHEMGLYCOLIC ACID 70%250</v>
      </c>
      <c r="E147" s="12">
        <f>_xlfn.XLOOKUP([1]!MOVIMENTACOES[[#This Row],[CONCAT]],'[2]PRICE LIST'!$G:$G,'[2]PRICE LIST'!$Q:$Q,"VERIFICAR",0,1)</f>
        <v>11.6</v>
      </c>
      <c r="F147" s="13">
        <f>_xlfn.XLOOKUP([1]!MOVIMENTACOES[[#This Row],[Data]],[1]PTAX!A:A,[1]PTAX!C:C,"VERIFICAR",0,1)*[1]!MOVIMENTACOES[[#This Row],[PREÇO DE LISTA DOLAR]]</f>
        <v>62.230519999999999</v>
      </c>
      <c r="G147" s="14">
        <f>[1]!MOVIMENTACOES[[#This Row],[PREÇO NET]]-[1]!MOVIMENTACOES[[#This Row],[PREÇO DE LISTA REAL]]</f>
        <v>5.9136000000000166</v>
      </c>
      <c r="H147" s="15">
        <f>-[1]!MOVIMENTACOES[[#This Row],[DESCONTO CONCEDIDO]]/[1]!MOVIMENTACOES[[#This Row],[PREÇO DE LISTA REAL]]</f>
        <v>-9.5027327427121236E-2</v>
      </c>
      <c r="I14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68.144120000000015</v>
      </c>
      <c r="J147" s="15">
        <f>VLOOKUP([1]!MOVIMENTACOES[[#This Row],[DESC %]],[1]!DESC[#Data],2,TRUE)</f>
        <v>0.01</v>
      </c>
      <c r="K147" s="15">
        <f>_xlfn.XLOOKUP([1]!MOVIMENTACOES[[#This Row],[NF-e]],'[1]PEDIDOS E COMISSOES'!A:A,'[1]PEDIDOS E COMISSOES'!E:E,"VERIFICAR",0,1)</f>
        <v>-1.5E-3</v>
      </c>
      <c r="L147" s="15">
        <f>IF([1]!MOVIMENTACOES[[#This Row],[PERCENTUAL DE COMISSÕES]]+[1]!MOVIMENTACOES[[#This Row],[AJUSTE COMISSÃO]]&lt;0.06%,0.05%,[1]!MOVIMENTACOES[[#This Row],[PERCENTUAL DE COMISSÕES]]+[1]!MOVIMENTACOES[[#This Row],[AJUSTE COMISSÃO]])</f>
        <v>8.5000000000000006E-3</v>
      </c>
      <c r="M147" s="16">
        <f>[1]!MOVIMENTACOES[[#This Row],[COMISSÃO FINAL]]*([1]!MOVIMENTACOES[[#This Row],[PREÇO NET]]*[1]!MOVIMENTACOES[[#This Row],[Qtde]])</f>
        <v>144.80625500000002</v>
      </c>
      <c r="N147" s="14" t="str">
        <f>_xlfn.XLOOKUP(LEFT([1]!MOVIMENTACOES[[#This Row],[Código]],3),'[1]BASE DE FABRICANTES'!A:A,'[1]BASE DE FABRICANTES'!B:B,"VERIFICAR",0,1)</f>
        <v>SPEC CHEM</v>
      </c>
      <c r="O147" s="14">
        <f>[1]!MOVIMENTACOES[[#This Row],[PREÇO NET]]*[1]!MOVIMENTACOES[[#This Row],[Qtde]]</f>
        <v>17036.030000000002</v>
      </c>
      <c r="P147" s="3" t="s">
        <v>567</v>
      </c>
      <c r="Q147" s="3" t="s">
        <v>568</v>
      </c>
      <c r="R147" s="3" t="s">
        <v>49</v>
      </c>
      <c r="S147" s="3" t="s">
        <v>543</v>
      </c>
      <c r="T147" s="6">
        <v>46041</v>
      </c>
      <c r="U147" s="6" t="s">
        <v>878</v>
      </c>
      <c r="V147" s="3" t="s">
        <v>91</v>
      </c>
      <c r="W147" s="3"/>
      <c r="X147" s="3"/>
      <c r="Y147" s="3" t="s">
        <v>879</v>
      </c>
      <c r="Z147" s="3" t="s">
        <v>880</v>
      </c>
      <c r="AA147" s="3" t="s">
        <v>881</v>
      </c>
      <c r="AB147" s="3"/>
      <c r="AC147" s="3" t="s">
        <v>791</v>
      </c>
      <c r="AD147" s="3" t="s">
        <v>165</v>
      </c>
      <c r="AE147" s="3" t="s">
        <v>44</v>
      </c>
      <c r="AF147" s="3" t="s">
        <v>45</v>
      </c>
      <c r="AG147" s="3" t="s">
        <v>46</v>
      </c>
      <c r="AH147" s="3" t="s">
        <v>116</v>
      </c>
      <c r="AI147" s="3" t="s">
        <v>360</v>
      </c>
      <c r="AJ147" s="4">
        <v>250</v>
      </c>
      <c r="AK147" s="4">
        <v>2500</v>
      </c>
      <c r="AL147" s="4">
        <v>500</v>
      </c>
      <c r="AM147" s="5">
        <v>28.492831850999998</v>
      </c>
      <c r="AN147" s="5">
        <v>80.37</v>
      </c>
      <c r="AO147" s="5">
        <v>7123.2079627499998</v>
      </c>
      <c r="AP147" s="5">
        <v>20092.5</v>
      </c>
      <c r="AQ147" s="5">
        <v>20092.5</v>
      </c>
      <c r="AR147" s="5">
        <v>2411.1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/>
      <c r="AY147" s="5"/>
      <c r="AZ147" s="5"/>
      <c r="BA147" s="5">
        <v>0</v>
      </c>
      <c r="BB147" s="5">
        <v>0</v>
      </c>
      <c r="BC147" s="5">
        <v>0</v>
      </c>
      <c r="BD147" s="5">
        <v>17681.400000000001</v>
      </c>
      <c r="BE147" s="5">
        <v>114.93</v>
      </c>
      <c r="BF147" s="5">
        <v>0</v>
      </c>
      <c r="BG147" s="5">
        <v>17681.400000000001</v>
      </c>
      <c r="BH147" s="5">
        <v>530.44000000000005</v>
      </c>
      <c r="BI147" s="5">
        <v>0</v>
      </c>
      <c r="BJ147" s="5">
        <v>0</v>
      </c>
      <c r="BK147" s="5">
        <v>0</v>
      </c>
      <c r="BL147" s="3" t="s">
        <v>49</v>
      </c>
      <c r="BM147" s="3"/>
      <c r="BN147" s="3" t="s">
        <v>97</v>
      </c>
      <c r="BO147" s="3" t="s">
        <v>51</v>
      </c>
      <c r="BP147" s="3" t="s">
        <v>899</v>
      </c>
      <c r="BQ147" s="6">
        <v>46611</v>
      </c>
    </row>
    <row r="148" spans="1:69" x14ac:dyDescent="0.25">
      <c r="A148" s="11" t="str">
        <f>LEFT([1]!MOVIMENTACOES[[#This Row],[Código]],9)</f>
        <v>030004005</v>
      </c>
      <c r="B148" s="11" t="s">
        <v>149</v>
      </c>
      <c r="C148" s="11" t="str">
        <f>TRIM(IFERROR(LEFT([1]!MOVIMENTACOES[[#This Row],[Descrição]],SEARCH([1]!MOVIMENTACOES[[#This Row],[EMBALAGEM]],[1]!MOVIMENTACOES[[#This Row],[Descrição]],1)-1),[1]!MOVIMENTACOES[[#This Row],[Descrição]]))</f>
        <v>ALPHA ARBUTIN</v>
      </c>
      <c r="D148" s="11" t="str">
        <f>_xlfn.CONCAT([1]!MOVIMENTACOES[[#This Row],[FABRICANTE]],[1]!MOVIMENTACOES[[#This Row],[DESCRIÇÃO SEM EMBALAGEM]],[1]!MOVIMENTACOES[[#This Row],[Coluna1]])</f>
        <v>SPEC CHEMALPHA ARBUTIN1</v>
      </c>
      <c r="E148" s="12">
        <f>_xlfn.XLOOKUP([1]!MOVIMENTACOES[[#This Row],[CONCAT]],'[2]PRICE LIST'!$G:$G,'[2]PRICE LIST'!$Q:$Q,"VERIFICAR",0,1)</f>
        <v>592.63625000000002</v>
      </c>
      <c r="F148" s="13">
        <f>_xlfn.XLOOKUP([1]!MOVIMENTACOES[[#This Row],[Data]],[1]PTAX!A:A,[1]PTAX!C:C,"VERIFICAR",0,1)*[1]!MOVIMENTACOES[[#This Row],[PREÇO DE LISTA DOLAR]]</f>
        <v>3179.315690375</v>
      </c>
      <c r="G148" s="14">
        <f>[1]!MOVIMENTACOES[[#This Row],[PREÇO NET]]-[1]!MOVIMENTACOES[[#This Row],[PREÇO DE LISTA REAL]]</f>
        <v>-1313.377547517857</v>
      </c>
      <c r="H148" s="15">
        <f>-[1]!MOVIMENTACOES[[#This Row],[DESCONTO CONCEDIDO]]/[1]!MOVIMENTACOES[[#This Row],[PREÇO DE LISTA REAL]]</f>
        <v>0.41310070324062226</v>
      </c>
      <c r="I14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1865.938142857143</v>
      </c>
      <c r="J148" s="15">
        <f>VLOOKUP([1]!MOVIMENTACOES[[#This Row],[DESC %]],[1]!DESC[#Data],2,TRUE)</f>
        <v>2.5000000000000001E-3</v>
      </c>
      <c r="K148" s="15">
        <f>_xlfn.XLOOKUP([1]!MOVIMENTACOES[[#This Row],[NF-e]],'[1]PEDIDOS E COMISSOES'!A:A,'[1]PEDIDOS E COMISSOES'!E:E,"VERIFICAR",0,1)</f>
        <v>-1.5E-3</v>
      </c>
      <c r="L148" s="15">
        <f>IF([1]!MOVIMENTACOES[[#This Row],[PERCENTUAL DE COMISSÕES]]+[1]!MOVIMENTACOES[[#This Row],[AJUSTE COMISSÃO]]&lt;0.06%,0.05%,[1]!MOVIMENTACOES[[#This Row],[PERCENTUAL DE COMISSÕES]]+[1]!MOVIMENTACOES[[#This Row],[AJUSTE COMISSÃO]])</f>
        <v>1E-3</v>
      </c>
      <c r="M148" s="16">
        <f>[1]!MOVIMENTACOES[[#This Row],[COMISSÃO FINAL]]*([1]!MOVIMENTACOES[[#This Row],[PREÇO NET]]*[1]!MOVIMENTACOES[[#This Row],[Qtde]])</f>
        <v>130.61567000000002</v>
      </c>
      <c r="N148" s="14" t="str">
        <f>_xlfn.XLOOKUP(LEFT([1]!MOVIMENTACOES[[#This Row],[Código]],3),'[1]BASE DE FABRICANTES'!A:A,'[1]BASE DE FABRICANTES'!B:B,"VERIFICAR",0,1)</f>
        <v>SPEC CHEM</v>
      </c>
      <c r="O148" s="14">
        <f>[1]!MOVIMENTACOES[[#This Row],[PREÇO NET]]*[1]!MOVIMENTACOES[[#This Row],[Qtde]]</f>
        <v>130615.67000000001</v>
      </c>
      <c r="P148" s="17" t="s">
        <v>783</v>
      </c>
      <c r="Q148" s="17" t="s">
        <v>784</v>
      </c>
      <c r="R148" s="17" t="s">
        <v>49</v>
      </c>
      <c r="S148" s="17" t="s">
        <v>785</v>
      </c>
      <c r="T148" s="18">
        <v>46041</v>
      </c>
      <c r="U148" s="18" t="s">
        <v>878</v>
      </c>
      <c r="V148" s="17" t="s">
        <v>91</v>
      </c>
      <c r="W148" s="17"/>
      <c r="X148" s="17"/>
      <c r="Y148" s="17" t="s">
        <v>879</v>
      </c>
      <c r="Z148" s="17" t="s">
        <v>880</v>
      </c>
      <c r="AA148" s="17" t="s">
        <v>881</v>
      </c>
      <c r="AB148" s="17"/>
      <c r="AC148" s="17" t="s">
        <v>791</v>
      </c>
      <c r="AD148" s="17" t="s">
        <v>165</v>
      </c>
      <c r="AE148" s="17" t="s">
        <v>44</v>
      </c>
      <c r="AF148" s="17" t="s">
        <v>45</v>
      </c>
      <c r="AG148" s="17" t="s">
        <v>46</v>
      </c>
      <c r="AH148" s="17" t="s">
        <v>116</v>
      </c>
      <c r="AI148" s="17" t="s">
        <v>360</v>
      </c>
      <c r="AJ148" s="19">
        <v>70</v>
      </c>
      <c r="AK148" s="19">
        <v>4</v>
      </c>
      <c r="AL148" s="19">
        <v>0</v>
      </c>
      <c r="AM148" s="20">
        <v>952.98924543420003</v>
      </c>
      <c r="AN148" s="20">
        <v>2200.71</v>
      </c>
      <c r="AO148" s="20">
        <v>66709.247180393999</v>
      </c>
      <c r="AP148" s="20">
        <v>154049.70000000001</v>
      </c>
      <c r="AQ148" s="20">
        <v>154049.70000000001</v>
      </c>
      <c r="AR148" s="20">
        <v>18485.96</v>
      </c>
      <c r="AS148" s="20">
        <v>0</v>
      </c>
      <c r="AT148" s="20">
        <v>0</v>
      </c>
      <c r="AU148" s="20">
        <v>0</v>
      </c>
      <c r="AV148" s="20">
        <v>0</v>
      </c>
      <c r="AW148" s="20">
        <v>0</v>
      </c>
      <c r="AX148" s="20"/>
      <c r="AY148" s="20"/>
      <c r="AZ148" s="20"/>
      <c r="BA148" s="20">
        <v>0</v>
      </c>
      <c r="BB148" s="20">
        <v>0</v>
      </c>
      <c r="BC148" s="20">
        <v>0</v>
      </c>
      <c r="BD148" s="20">
        <v>135563.74</v>
      </c>
      <c r="BE148" s="20">
        <v>881.16</v>
      </c>
      <c r="BF148" s="20">
        <v>0</v>
      </c>
      <c r="BG148" s="20">
        <v>135563.74</v>
      </c>
      <c r="BH148" s="20">
        <v>4066.91</v>
      </c>
      <c r="BI148" s="20">
        <v>0</v>
      </c>
      <c r="BJ148" s="20">
        <v>0</v>
      </c>
      <c r="BK148" s="20">
        <v>0</v>
      </c>
      <c r="BL148" s="17" t="s">
        <v>49</v>
      </c>
      <c r="BM148" s="17"/>
      <c r="BN148" s="17" t="s">
        <v>97</v>
      </c>
      <c r="BO148" s="17" t="s">
        <v>51</v>
      </c>
      <c r="BP148" s="17" t="s">
        <v>617</v>
      </c>
      <c r="BQ148" s="18">
        <v>46550</v>
      </c>
    </row>
    <row r="149" spans="1:69" x14ac:dyDescent="0.25">
      <c r="A149" s="11" t="str">
        <f>LEFT([1]!MOVIMENTACOES[[#This Row],[Código]],9)</f>
        <v>030004003</v>
      </c>
      <c r="B149" s="11" t="s">
        <v>149</v>
      </c>
      <c r="C149" s="11" t="str">
        <f>TRIM(IFERROR(LEFT([1]!MOVIMENTACOES[[#This Row],[Descrição]],SEARCH([1]!MOVIMENTACOES[[#This Row],[EMBALAGEM]],[1]!MOVIMENTACOES[[#This Row],[Descrição]],1)-1),[1]!MOVIMENTACOES[[#This Row],[Descrição]]))</f>
        <v>KOJIC ACID</v>
      </c>
      <c r="D149" s="11" t="str">
        <f>_xlfn.CONCAT([1]!MOVIMENTACOES[[#This Row],[FABRICANTE]],[1]!MOVIMENTACOES[[#This Row],[DESCRIÇÃO SEM EMBALAGEM]],[1]!MOVIMENTACOES[[#This Row],[Coluna1]])</f>
        <v>SPEC CHEMKOJIC ACID1</v>
      </c>
      <c r="E149" s="12">
        <f>_xlfn.XLOOKUP([1]!MOVIMENTACOES[[#This Row],[CONCAT]],'[2]PRICE LIST'!$G:$G,'[2]PRICE LIST'!$Q:$Q,"VERIFICAR",0,1)</f>
        <v>96.2</v>
      </c>
      <c r="F149" s="13">
        <f>_xlfn.XLOOKUP([1]!MOVIMENTACOES[[#This Row],[Data]],[1]PTAX!A:A,[1]PTAX!C:C,"VERIFICAR",0,1)*[1]!MOVIMENTACOES[[#This Row],[PREÇO DE LISTA DOLAR]]</f>
        <v>516.08414000000005</v>
      </c>
      <c r="G149" s="14">
        <f>[1]!MOVIMENTACOES[[#This Row],[PREÇO NET]]-[1]!MOVIMENTACOES[[#This Row],[PREÇO DE LISTA REAL]]</f>
        <v>-205.72614000000004</v>
      </c>
      <c r="H149" s="15">
        <f>-[1]!MOVIMENTACOES[[#This Row],[DESCONTO CONCEDIDO]]/[1]!MOVIMENTACOES[[#This Row],[PREÇO DE LISTA REAL]]</f>
        <v>0.39862906850809254</v>
      </c>
      <c r="I14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310.358</v>
      </c>
      <c r="J149" s="15">
        <f>VLOOKUP([1]!MOVIMENTACOES[[#This Row],[DESC %]],[1]!DESC[#Data],2,TRUE)</f>
        <v>2.5000000000000001E-3</v>
      </c>
      <c r="K149" s="15">
        <f>_xlfn.XLOOKUP([1]!MOVIMENTACOES[[#This Row],[NF-e]],'[1]PEDIDOS E COMISSOES'!A:A,'[1]PEDIDOS E COMISSOES'!E:E,"VERIFICAR",0,1)</f>
        <v>0</v>
      </c>
      <c r="L149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149" s="16">
        <f>[1]!MOVIMENTACOES[[#This Row],[COMISSÃO FINAL]]*([1]!MOVIMENTACOES[[#This Row],[PREÇO NET]]*[1]!MOVIMENTACOES[[#This Row],[Qtde]])</f>
        <v>3.8794749999999998</v>
      </c>
      <c r="N149" s="14" t="str">
        <f>_xlfn.XLOOKUP(LEFT([1]!MOVIMENTACOES[[#This Row],[Código]],3),'[1]BASE DE FABRICANTES'!A:A,'[1]BASE DE FABRICANTES'!B:B,"VERIFICAR",0,1)</f>
        <v>SPEC CHEM</v>
      </c>
      <c r="O149" s="14">
        <f>[1]!MOVIMENTACOES[[#This Row],[PREÇO NET]]*[1]!MOVIMENTACOES[[#This Row],[Qtde]]</f>
        <v>1551.79</v>
      </c>
      <c r="P149" s="3" t="s">
        <v>673</v>
      </c>
      <c r="Q149" s="3" t="s">
        <v>674</v>
      </c>
      <c r="R149" s="3" t="s">
        <v>49</v>
      </c>
      <c r="S149" s="3" t="s">
        <v>564</v>
      </c>
      <c r="T149" s="6">
        <v>46041</v>
      </c>
      <c r="U149" s="6" t="s">
        <v>900</v>
      </c>
      <c r="V149" s="3" t="s">
        <v>91</v>
      </c>
      <c r="W149" s="3"/>
      <c r="X149" s="3"/>
      <c r="Y149" s="3" t="s">
        <v>901</v>
      </c>
      <c r="Z149" s="3" t="s">
        <v>902</v>
      </c>
      <c r="AA149" s="3" t="s">
        <v>903</v>
      </c>
      <c r="AB149" s="3"/>
      <c r="AC149" s="3" t="s">
        <v>337</v>
      </c>
      <c r="AD149" s="3" t="s">
        <v>165</v>
      </c>
      <c r="AE149" s="3" t="s">
        <v>44</v>
      </c>
      <c r="AF149" s="3" t="s">
        <v>45</v>
      </c>
      <c r="AG149" s="3" t="s">
        <v>46</v>
      </c>
      <c r="AH149" s="3" t="s">
        <v>339</v>
      </c>
      <c r="AI149" s="3" t="s">
        <v>110</v>
      </c>
      <c r="AJ149" s="4">
        <v>5</v>
      </c>
      <c r="AK149" s="4">
        <v>62</v>
      </c>
      <c r="AL149" s="4">
        <v>0</v>
      </c>
      <c r="AM149" s="5">
        <v>153.5224824771</v>
      </c>
      <c r="AN149" s="5">
        <v>366.04</v>
      </c>
      <c r="AO149" s="5">
        <v>767.61241238549997</v>
      </c>
      <c r="AP149" s="5">
        <v>1830.2</v>
      </c>
      <c r="AQ149" s="5">
        <v>1830.2</v>
      </c>
      <c r="AR149" s="5">
        <v>219.62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/>
      <c r="AY149" s="5"/>
      <c r="AZ149" s="5"/>
      <c r="BA149" s="5">
        <v>0</v>
      </c>
      <c r="BB149" s="5">
        <v>0</v>
      </c>
      <c r="BC149" s="5">
        <v>0</v>
      </c>
      <c r="BD149" s="5">
        <v>1610.58</v>
      </c>
      <c r="BE149" s="5">
        <v>10.47</v>
      </c>
      <c r="BF149" s="5">
        <v>0</v>
      </c>
      <c r="BG149" s="5">
        <v>1610.58</v>
      </c>
      <c r="BH149" s="5">
        <v>48.32</v>
      </c>
      <c r="BI149" s="5">
        <v>0</v>
      </c>
      <c r="BJ149" s="5">
        <v>0</v>
      </c>
      <c r="BK149" s="5">
        <v>0</v>
      </c>
      <c r="BL149" s="3" t="s">
        <v>49</v>
      </c>
      <c r="BM149" s="3"/>
      <c r="BN149" s="3" t="s">
        <v>50</v>
      </c>
      <c r="BO149" s="3" t="s">
        <v>51</v>
      </c>
      <c r="BP149" s="3" t="s">
        <v>679</v>
      </c>
      <c r="BQ149" s="6">
        <v>46516</v>
      </c>
    </row>
    <row r="150" spans="1:69" x14ac:dyDescent="0.25">
      <c r="A150" s="11" t="str">
        <f>LEFT([1]!MOVIMENTACOES[[#This Row],[Código]],9)</f>
        <v>030004008</v>
      </c>
      <c r="B150" s="11" t="s">
        <v>149</v>
      </c>
      <c r="C150" s="11" t="str">
        <f>TRIM(IFERROR(LEFT([1]!MOVIMENTACOES[[#This Row],[Descrição]],SEARCH([1]!MOVIMENTACOES[[#This Row],[EMBALAGEM]],[1]!MOVIMENTACOES[[#This Row],[Descrição]],1)-1),[1]!MOVIMENTACOES[[#This Row],[Descrição]]))</f>
        <v>TRANEXAMIC ACID</v>
      </c>
      <c r="D150" s="11" t="str">
        <f>_xlfn.CONCAT([1]!MOVIMENTACOES[[#This Row],[FABRICANTE]],[1]!MOVIMENTACOES[[#This Row],[DESCRIÇÃO SEM EMBALAGEM]],[1]!MOVIMENTACOES[[#This Row],[Coluna1]])</f>
        <v>SPEC CHEMTRANEXAMIC ACID1</v>
      </c>
      <c r="E150" s="12">
        <f>_xlfn.XLOOKUP([1]!MOVIMENTACOES[[#This Row],[CONCAT]],'[2]PRICE LIST'!$G:$G,'[2]PRICE LIST'!$Q:$Q,"VERIFICAR",0,1)</f>
        <v>346.49843750000002</v>
      </c>
      <c r="F150" s="13">
        <f>_xlfn.XLOOKUP([1]!MOVIMENTACOES[[#This Row],[Data]],[1]PTAX!A:A,[1]PTAX!C:C,"VERIFICAR",0,1)*[1]!MOVIMENTACOES[[#This Row],[PREÇO DE LISTA DOLAR]]</f>
        <v>1858.86016765625</v>
      </c>
      <c r="G150" s="14">
        <f>[1]!MOVIMENTACOES[[#This Row],[PREÇO NET]]-[1]!MOVIMENTACOES[[#This Row],[PREÇO DE LISTA REAL]]</f>
        <v>-1307.0201676562501</v>
      </c>
      <c r="H150" s="15">
        <f>-[1]!MOVIMENTACOES[[#This Row],[DESCONTO CONCEDIDO]]/[1]!MOVIMENTACOES[[#This Row],[PREÇO DE LISTA REAL]]</f>
        <v>0.70312990207553416</v>
      </c>
      <c r="I15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551.84</v>
      </c>
      <c r="J150" s="15">
        <f>VLOOKUP([1]!MOVIMENTACOES[[#This Row],[DESC %]],[1]!DESC[#Data],2,TRUE)</f>
        <v>2.5000000000000001E-3</v>
      </c>
      <c r="K150" s="15">
        <f>_xlfn.XLOOKUP([1]!MOVIMENTACOES[[#This Row],[NF-e]],'[1]PEDIDOS E COMISSOES'!A:A,'[1]PEDIDOS E COMISSOES'!E:E,"VERIFICAR",0,1)</f>
        <v>0</v>
      </c>
      <c r="L150" s="15">
        <f>IF([1]!MOVIMENTACOES[[#This Row],[PERCENTUAL DE COMISSÕES]]+[1]!MOVIMENTACOES[[#This Row],[AJUSTE COMISSÃO]]&lt;0.06%,0.05%,[1]!MOVIMENTACOES[[#This Row],[PERCENTUAL DE COMISSÕES]]+[1]!MOVIMENTACOES[[#This Row],[AJUSTE COMISSÃO]])</f>
        <v>2.5000000000000001E-3</v>
      </c>
      <c r="M150" s="16">
        <f>[1]!MOVIMENTACOES[[#This Row],[COMISSÃO FINAL]]*([1]!MOVIMENTACOES[[#This Row],[PREÇO NET]]*[1]!MOVIMENTACOES[[#This Row],[Qtde]])</f>
        <v>2.7592000000000003</v>
      </c>
      <c r="N150" s="14" t="str">
        <f>_xlfn.XLOOKUP(LEFT([1]!MOVIMENTACOES[[#This Row],[Código]],3),'[1]BASE DE FABRICANTES'!A:A,'[1]BASE DE FABRICANTES'!B:B,"VERIFICAR",0,1)</f>
        <v>SPEC CHEM</v>
      </c>
      <c r="O150" s="14">
        <f>[1]!MOVIMENTACOES[[#This Row],[PREÇO NET]]*[1]!MOVIMENTACOES[[#This Row],[Qtde]]</f>
        <v>1103.68</v>
      </c>
      <c r="P150" s="17" t="s">
        <v>533</v>
      </c>
      <c r="Q150" s="17" t="s">
        <v>561</v>
      </c>
      <c r="R150" s="17" t="s">
        <v>49</v>
      </c>
      <c r="S150" s="17" t="s">
        <v>535</v>
      </c>
      <c r="T150" s="18">
        <v>46041</v>
      </c>
      <c r="U150" s="18" t="s">
        <v>900</v>
      </c>
      <c r="V150" s="17" t="s">
        <v>91</v>
      </c>
      <c r="W150" s="17"/>
      <c r="X150" s="17"/>
      <c r="Y150" s="17" t="s">
        <v>901</v>
      </c>
      <c r="Z150" s="17" t="s">
        <v>902</v>
      </c>
      <c r="AA150" s="17" t="s">
        <v>903</v>
      </c>
      <c r="AB150" s="17"/>
      <c r="AC150" s="17" t="s">
        <v>337</v>
      </c>
      <c r="AD150" s="17"/>
      <c r="AE150" s="17" t="s">
        <v>44</v>
      </c>
      <c r="AF150" s="17" t="s">
        <v>45</v>
      </c>
      <c r="AG150" s="17" t="s">
        <v>46</v>
      </c>
      <c r="AH150" s="17" t="s">
        <v>339</v>
      </c>
      <c r="AI150" s="17" t="s">
        <v>110</v>
      </c>
      <c r="AJ150" s="19">
        <v>2</v>
      </c>
      <c r="AK150" s="19">
        <v>102</v>
      </c>
      <c r="AL150" s="19">
        <v>0</v>
      </c>
      <c r="AM150" s="20">
        <v>395.35198390940002</v>
      </c>
      <c r="AN150" s="20">
        <v>650.85</v>
      </c>
      <c r="AO150" s="20">
        <v>790.70396781880004</v>
      </c>
      <c r="AP150" s="20">
        <v>1301.7</v>
      </c>
      <c r="AQ150" s="20">
        <v>1301.7</v>
      </c>
      <c r="AR150" s="20">
        <v>156.19999999999999</v>
      </c>
      <c r="AS150" s="20">
        <v>0</v>
      </c>
      <c r="AT150" s="20">
        <v>0</v>
      </c>
      <c r="AU150" s="20">
        <v>0</v>
      </c>
      <c r="AV150" s="20">
        <v>0</v>
      </c>
      <c r="AW150" s="20">
        <v>0</v>
      </c>
      <c r="AX150" s="20"/>
      <c r="AY150" s="20"/>
      <c r="AZ150" s="20"/>
      <c r="BA150" s="20">
        <v>0</v>
      </c>
      <c r="BB150" s="20">
        <v>0</v>
      </c>
      <c r="BC150" s="20">
        <v>0</v>
      </c>
      <c r="BD150" s="20">
        <v>1145.5</v>
      </c>
      <c r="BE150" s="20">
        <v>7.45</v>
      </c>
      <c r="BF150" s="20">
        <v>0</v>
      </c>
      <c r="BG150" s="20">
        <v>1145.5</v>
      </c>
      <c r="BH150" s="20">
        <v>34.369999999999997</v>
      </c>
      <c r="BI150" s="20">
        <v>0</v>
      </c>
      <c r="BJ150" s="20">
        <v>0</v>
      </c>
      <c r="BK150" s="20">
        <v>0</v>
      </c>
      <c r="BL150" s="17" t="s">
        <v>49</v>
      </c>
      <c r="BM150" s="17"/>
      <c r="BN150" s="17" t="s">
        <v>50</v>
      </c>
      <c r="BO150" s="17" t="s">
        <v>51</v>
      </c>
      <c r="BP150" s="17" t="s">
        <v>540</v>
      </c>
      <c r="BQ150" s="18">
        <v>46894</v>
      </c>
    </row>
    <row r="151" spans="1:69" x14ac:dyDescent="0.25">
      <c r="A151" s="11" t="str">
        <f>LEFT([1]!MOVIMENTACOES[[#This Row],[Código]],9)</f>
        <v>001004063</v>
      </c>
      <c r="B151" s="11" t="s">
        <v>149</v>
      </c>
      <c r="C151" s="11" t="str">
        <f>TRIM(IFERROR(LEFT([1]!MOVIMENTACOES[[#This Row],[Descrição]],SEARCH([1]!MOVIMENTACOES[[#This Row],[EMBALAGEM]],[1]!MOVIMENTACOES[[#This Row],[Descrição]],1)-1),[1]!MOVIMENTACOES[[#This Row],[Descrição]]))</f>
        <v>PHYCOSACCHARIDE ACP</v>
      </c>
      <c r="D151" s="11" t="str">
        <f>_xlfn.CONCAT([1]!MOVIMENTACOES[[#This Row],[FABRICANTE]],[1]!MOVIMENTACOES[[#This Row],[DESCRIÇÃO SEM EMBALAGEM]],[1]!MOVIMENTACOES[[#This Row],[Coluna1]])</f>
        <v>CODIFPHYCOSACCHARIDE ACP1</v>
      </c>
      <c r="E151" s="12">
        <f>_xlfn.XLOOKUP([1]!MOVIMENTACOES[[#This Row],[CONCAT]],'[2]PRICE LIST'!$G:$G,'[2]PRICE LIST'!$Q:$Q,"VERIFICAR",0,1)</f>
        <v>317.2287627</v>
      </c>
      <c r="F151" s="13">
        <f>_xlfn.XLOOKUP([1]!MOVIMENTACOES[[#This Row],[Data]],[1]PTAX!A:A,[1]PTAX!C:C,"VERIFICAR",0,1)*[1]!MOVIMENTACOES[[#This Row],[PREÇO DE LISTA DOLAR]]</f>
        <v>1701.8371432566901</v>
      </c>
      <c r="G151" s="14">
        <f>[1]!MOVIMENTACOES[[#This Row],[PREÇO NET]]-[1]!MOVIMENTACOES[[#This Row],[PREÇO DE LISTA REAL]]</f>
        <v>-49.237143256690388</v>
      </c>
      <c r="H151" s="15">
        <f>-[1]!MOVIMENTACOES[[#This Row],[DESCONTO CONCEDIDO]]/[1]!MOVIMENTACOES[[#This Row],[PREÇO DE LISTA REAL]]</f>
        <v>2.8931759687926786E-2</v>
      </c>
      <c r="I15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1652.5999999999997</v>
      </c>
      <c r="J151" s="15">
        <f>VLOOKUP([1]!MOVIMENTACOES[[#This Row],[DESC %]],[1]!DESC[#Data],2,TRUE)</f>
        <v>8.9999999999999993E-3</v>
      </c>
      <c r="K151" s="15">
        <f>_xlfn.XLOOKUP([1]!MOVIMENTACOES[[#This Row],[NF-e]],'[1]PEDIDOS E COMISSOES'!A:A,'[1]PEDIDOS E COMISSOES'!E:E,"VERIFICAR",0,1)</f>
        <v>5.0000000000000001E-4</v>
      </c>
      <c r="L151" s="15">
        <f>IF([1]!MOVIMENTACOES[[#This Row],[PERCENTUAL DE COMISSÕES]]+[1]!MOVIMENTACOES[[#This Row],[AJUSTE COMISSÃO]]&lt;0.06%,0.05%,[1]!MOVIMENTACOES[[#This Row],[PERCENTUAL DE COMISSÕES]]+[1]!MOVIMENTACOES[[#This Row],[AJUSTE COMISSÃO]])</f>
        <v>9.4999999999999998E-3</v>
      </c>
      <c r="M151" s="16">
        <f>[1]!MOVIMENTACOES[[#This Row],[COMISSÃO FINAL]]*([1]!MOVIMENTACOES[[#This Row],[PREÇO NET]]*[1]!MOVIMENTACOES[[#This Row],[Qtde]])</f>
        <v>15.699699999999996</v>
      </c>
      <c r="N151" s="14" t="str">
        <f>_xlfn.XLOOKUP(LEFT([1]!MOVIMENTACOES[[#This Row],[Código]],3),'[1]BASE DE FABRICANTES'!A:A,'[1]BASE DE FABRICANTES'!B:B,"VERIFICAR",0,1)</f>
        <v>CODIF</v>
      </c>
      <c r="O151" s="14">
        <f>[1]!MOVIMENTACOES[[#This Row],[PREÇO NET]]*[1]!MOVIMENTACOES[[#This Row],[Qtde]]</f>
        <v>1652.5999999999997</v>
      </c>
      <c r="P151" s="3" t="s">
        <v>904</v>
      </c>
      <c r="Q151" s="3" t="s">
        <v>905</v>
      </c>
      <c r="R151" s="3" t="s">
        <v>49</v>
      </c>
      <c r="S151" s="3" t="s">
        <v>120</v>
      </c>
      <c r="T151" s="6">
        <v>46041</v>
      </c>
      <c r="U151" s="6" t="s">
        <v>234</v>
      </c>
      <c r="V151" s="3" t="s">
        <v>91</v>
      </c>
      <c r="W151" s="3"/>
      <c r="X151" s="3"/>
      <c r="Y151" s="3" t="s">
        <v>906</v>
      </c>
      <c r="Z151" s="3" t="s">
        <v>907</v>
      </c>
      <c r="AA151" s="3" t="s">
        <v>908</v>
      </c>
      <c r="AB151" s="3"/>
      <c r="AC151" s="3" t="s">
        <v>909</v>
      </c>
      <c r="AD151" s="3" t="s">
        <v>125</v>
      </c>
      <c r="AE151" s="3" t="s">
        <v>44</v>
      </c>
      <c r="AF151" s="3" t="s">
        <v>45</v>
      </c>
      <c r="AG151" s="3" t="s">
        <v>46</v>
      </c>
      <c r="AH151" s="3" t="s">
        <v>47</v>
      </c>
      <c r="AI151" s="3" t="s">
        <v>48</v>
      </c>
      <c r="AJ151" s="4">
        <v>1</v>
      </c>
      <c r="AK151" s="4">
        <v>0</v>
      </c>
      <c r="AL151" s="4">
        <v>0</v>
      </c>
      <c r="AM151" s="5">
        <v>583.59065394890001</v>
      </c>
      <c r="AN151" s="5">
        <v>2091.7199999999998</v>
      </c>
      <c r="AO151" s="5">
        <v>583.59065394890001</v>
      </c>
      <c r="AP151" s="5">
        <v>2091.7199999999998</v>
      </c>
      <c r="AQ151" s="5">
        <v>2091.7199999999998</v>
      </c>
      <c r="AR151" s="5">
        <v>376.51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/>
      <c r="AY151" s="5"/>
      <c r="AZ151" s="5"/>
      <c r="BA151" s="5">
        <v>0</v>
      </c>
      <c r="BB151" s="5">
        <v>0</v>
      </c>
      <c r="BC151" s="5">
        <v>0</v>
      </c>
      <c r="BD151" s="5">
        <v>1715.21</v>
      </c>
      <c r="BE151" s="5">
        <v>11.15</v>
      </c>
      <c r="BF151" s="5">
        <v>0</v>
      </c>
      <c r="BG151" s="5">
        <v>1715.21</v>
      </c>
      <c r="BH151" s="5">
        <v>51.46</v>
      </c>
      <c r="BI151" s="5">
        <v>0</v>
      </c>
      <c r="BJ151" s="5">
        <v>0</v>
      </c>
      <c r="BK151" s="5">
        <v>0</v>
      </c>
      <c r="BL151" s="3" t="s">
        <v>49</v>
      </c>
      <c r="BM151" s="3"/>
      <c r="BN151" s="3" t="s">
        <v>97</v>
      </c>
      <c r="BO151" s="3" t="s">
        <v>51</v>
      </c>
      <c r="BP151" s="3" t="s">
        <v>910</v>
      </c>
      <c r="BQ151" s="6">
        <v>46724</v>
      </c>
    </row>
    <row r="152" spans="1:69" x14ac:dyDescent="0.25">
      <c r="A152" s="11" t="str">
        <f>LEFT([1]!MOVIMENTACOES[[#This Row],[Código]],9)</f>
        <v>002004041</v>
      </c>
      <c r="B152" s="11" t="s">
        <v>99</v>
      </c>
      <c r="C152" s="11" t="str">
        <f>TRIM(IFERROR(LEFT([1]!MOVIMENTACOES[[#This Row],[Descrição]],SEARCH([1]!MOVIMENTACOES[[#This Row],[EMBALAGEM]],[1]!MOVIMENTACOES[[#This Row],[Descrição]],1)-1),[1]!MOVIMENTACOES[[#This Row],[Descrição]]))</f>
        <v>JMSW ED</v>
      </c>
      <c r="D152" s="11" t="str">
        <f>_xlfn.CONCAT([1]!MOVIMENTACOES[[#This Row],[FABRICANTE]],[1]!MOVIMENTACOES[[#This Row],[DESCRIÇÃO SEM EMBALAGEM]],[1]!MOVIMENTACOES[[#This Row],[Coluna1]])</f>
        <v>BIOLANDJMSW ED5</v>
      </c>
      <c r="E152" s="12">
        <f>_xlfn.XLOOKUP([1]!MOVIMENTACOES[[#This Row],[CONCAT]],'[2]PRICE LIST'!$G:$G,'[2]PRICE LIST'!$Q:$Q,"VERIFICAR",0,1)</f>
        <v>135.85030499999999</v>
      </c>
      <c r="F152" s="13">
        <f>_xlfn.XLOOKUP([1]!MOVIMENTACOES[[#This Row],[Data]],[1]PTAX!A:A,[1]PTAX!C:C,"VERIFICAR",0,1)*[1]!MOVIMENTACOES[[#This Row],[PREÇO DE LISTA DOLAR]]</f>
        <v>728.79613123349998</v>
      </c>
      <c r="G152" s="14">
        <f>[1]!MOVIMENTACOES[[#This Row],[PREÇO NET]]-[1]!MOVIMENTACOES[[#This Row],[PREÇO DE LISTA REAL]]</f>
        <v>-136.97013123349996</v>
      </c>
      <c r="H152" s="15">
        <f>-[1]!MOVIMENTACOES[[#This Row],[DESCONTO CONCEDIDO]]/[1]!MOVIMENTACOES[[#This Row],[PREÇO DE LISTA REAL]]</f>
        <v>0.18794025566748776</v>
      </c>
      <c r="I15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591.82600000000002</v>
      </c>
      <c r="J152" s="15">
        <f>VLOOKUP([1]!MOVIMENTACOES[[#This Row],[DESC %]],[1]!DESC[#Data],2,TRUE)</f>
        <v>4.0000000000000001E-3</v>
      </c>
      <c r="K152" s="15">
        <f>_xlfn.XLOOKUP([1]!MOVIMENTACOES[[#This Row],[NF-e]],'[1]PEDIDOS E COMISSOES'!A:A,'[1]PEDIDOS E COMISSOES'!E:E,"VERIFICAR",0,1)</f>
        <v>-1E-3</v>
      </c>
      <c r="L152" s="15">
        <f>IF([1]!MOVIMENTACOES[[#This Row],[PERCENTUAL DE COMISSÕES]]+[1]!MOVIMENTACOES[[#This Row],[AJUSTE COMISSÃO]]&lt;0.06%,0.05%,[1]!MOVIMENTACOES[[#This Row],[PERCENTUAL DE COMISSÕES]]+[1]!MOVIMENTACOES[[#This Row],[AJUSTE COMISSÃO]])</f>
        <v>3.0000000000000001E-3</v>
      </c>
      <c r="M152" s="16">
        <f>[1]!MOVIMENTACOES[[#This Row],[COMISSÃO FINAL]]*([1]!MOVIMENTACOES[[#This Row],[PREÇO NET]]*[1]!MOVIMENTACOES[[#This Row],[Qtde]])</f>
        <v>8.8773900000000001</v>
      </c>
      <c r="N152" s="14" t="str">
        <f>_xlfn.XLOOKUP(LEFT([1]!MOVIMENTACOES[[#This Row],[Código]],3),'[1]BASE DE FABRICANTES'!A:A,'[1]BASE DE FABRICANTES'!B:B,"VERIFICAR",0,1)</f>
        <v>BIOLAND</v>
      </c>
      <c r="O152" s="14">
        <f>[1]!MOVIMENTACOES[[#This Row],[PREÇO NET]]*[1]!MOVIMENTACOES[[#This Row],[Qtde]]</f>
        <v>2959.13</v>
      </c>
      <c r="P152" s="17" t="s">
        <v>401</v>
      </c>
      <c r="Q152" s="17" t="s">
        <v>402</v>
      </c>
      <c r="R152" s="17" t="s">
        <v>49</v>
      </c>
      <c r="S152" s="17" t="s">
        <v>350</v>
      </c>
      <c r="T152" s="18">
        <v>46041</v>
      </c>
      <c r="U152" s="18" t="s">
        <v>682</v>
      </c>
      <c r="V152" s="17" t="s">
        <v>91</v>
      </c>
      <c r="W152" s="17"/>
      <c r="X152" s="17"/>
      <c r="Y152" s="17" t="s">
        <v>911</v>
      </c>
      <c r="Z152" s="17" t="s">
        <v>912</v>
      </c>
      <c r="AA152" s="17" t="s">
        <v>913</v>
      </c>
      <c r="AB152" s="17"/>
      <c r="AC152" s="17" t="s">
        <v>909</v>
      </c>
      <c r="AD152" s="17" t="s">
        <v>43</v>
      </c>
      <c r="AE152" s="17" t="s">
        <v>44</v>
      </c>
      <c r="AF152" s="17" t="s">
        <v>45</v>
      </c>
      <c r="AG152" s="17" t="s">
        <v>46</v>
      </c>
      <c r="AH152" s="17" t="s">
        <v>47</v>
      </c>
      <c r="AI152" s="17" t="s">
        <v>48</v>
      </c>
      <c r="AJ152" s="19">
        <v>5</v>
      </c>
      <c r="AK152" s="19">
        <v>0</v>
      </c>
      <c r="AL152" s="19">
        <v>0</v>
      </c>
      <c r="AM152" s="20">
        <v>216.52961815450001</v>
      </c>
      <c r="AN152" s="20">
        <v>749.08</v>
      </c>
      <c r="AO152" s="20">
        <v>1082.6480907724999</v>
      </c>
      <c r="AP152" s="20">
        <v>3745.4</v>
      </c>
      <c r="AQ152" s="20">
        <v>3745.4</v>
      </c>
      <c r="AR152" s="20">
        <v>674.17</v>
      </c>
      <c r="AS152" s="20">
        <v>0</v>
      </c>
      <c r="AT152" s="20">
        <v>0</v>
      </c>
      <c r="AU152" s="20">
        <v>0</v>
      </c>
      <c r="AV152" s="20">
        <v>0</v>
      </c>
      <c r="AW152" s="20">
        <v>0</v>
      </c>
      <c r="AX152" s="20"/>
      <c r="AY152" s="20"/>
      <c r="AZ152" s="20"/>
      <c r="BA152" s="20">
        <v>0</v>
      </c>
      <c r="BB152" s="20">
        <v>0</v>
      </c>
      <c r="BC152" s="20">
        <v>0</v>
      </c>
      <c r="BD152" s="20">
        <v>3071.23</v>
      </c>
      <c r="BE152" s="20">
        <v>19.96</v>
      </c>
      <c r="BF152" s="20">
        <v>0</v>
      </c>
      <c r="BG152" s="20">
        <v>3071.23</v>
      </c>
      <c r="BH152" s="20">
        <v>92.14</v>
      </c>
      <c r="BI152" s="20">
        <v>0</v>
      </c>
      <c r="BJ152" s="20">
        <v>0</v>
      </c>
      <c r="BK152" s="20">
        <v>0</v>
      </c>
      <c r="BL152" s="17" t="s">
        <v>49</v>
      </c>
      <c r="BM152" s="17"/>
      <c r="BN152" s="17" t="s">
        <v>97</v>
      </c>
      <c r="BO152" s="17" t="s">
        <v>51</v>
      </c>
      <c r="BP152" s="17" t="s">
        <v>407</v>
      </c>
      <c r="BQ152" s="18">
        <v>46533</v>
      </c>
    </row>
    <row r="153" spans="1:69" x14ac:dyDescent="0.25">
      <c r="A153" s="11" t="str">
        <f>LEFT([1]!MOVIMENTACOES[[#This Row],[Código]],9)</f>
        <v>001004043</v>
      </c>
      <c r="B153" s="11" t="s">
        <v>914</v>
      </c>
      <c r="C153" s="11" t="str">
        <f>TRIM(IFERROR(LEFT([1]!MOVIMENTACOES[[#This Row],[Descrição]],SEARCH([1]!MOVIMENTACOES[[#This Row],[EMBALAGEM]],[1]!MOVIMENTACOES[[#This Row],[Descrição]],1)-1),[1]!MOVIMENTACOES[[#This Row],[Descrição]]))</f>
        <v>EPS BRIGHT P</v>
      </c>
      <c r="D153" s="11" t="str">
        <f>_xlfn.CONCAT([1]!MOVIMENTACOES[[#This Row],[FABRICANTE]],[1]!MOVIMENTACOES[[#This Row],[DESCRIÇÃO SEM EMBALAGEM]],[1]!MOVIMENTACOES[[#This Row],[Coluna1]])</f>
        <v>CODIFEPS BRIGHT P0,92</v>
      </c>
      <c r="E153" s="21">
        <v>501.81067695999997</v>
      </c>
      <c r="F153" s="13">
        <f>_xlfn.XLOOKUP([1]!MOVIMENTACOES[[#This Row],[Data]],[1]PTAX!A:A,[1]PTAX!C:C,"VERIFICAR",0,1)*[1]!MOVIMENTACOES[[#This Row],[PREÇO DE LISTA DOLAR]]</f>
        <v>2692.0637386873118</v>
      </c>
      <c r="G153" s="14">
        <f>[1]!MOVIMENTACOES[[#This Row],[PREÇO NET]]-[1]!MOVIMENTACOES[[#This Row],[PREÇO DE LISTA REAL]]</f>
        <v>-952.74852129600731</v>
      </c>
      <c r="H153" s="15">
        <f>-[1]!MOVIMENTACOES[[#This Row],[DESCONTO CONCEDIDO]]/[1]!MOVIMENTACOES[[#This Row],[PREÇO DE LISTA REAL]]</f>
        <v>0.35391009046486427</v>
      </c>
      <c r="I15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1739.3152173913045</v>
      </c>
      <c r="J153" s="15">
        <f>VLOOKUP([1]!MOVIMENTACOES[[#This Row],[DESC %]],[1]!DESC[#Data],2,TRUE)</f>
        <v>2.5000000000000001E-3</v>
      </c>
      <c r="K153" s="15">
        <f>_xlfn.XLOOKUP([1]!MOVIMENTACOES[[#This Row],[NF-e]],'[1]PEDIDOS E COMISSOES'!A:A,'[1]PEDIDOS E COMISSOES'!E:E,"VERIFICAR",0,1)</f>
        <v>-1E-3</v>
      </c>
      <c r="L153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53" s="16">
        <f>[1]!MOVIMENTACOES[[#This Row],[COMISSÃO FINAL]]*([1]!MOVIMENTACOES[[#This Row],[PREÇO NET]]*[1]!MOVIMENTACOES[[#This Row],[Qtde]])</f>
        <v>2.4002550000000005</v>
      </c>
      <c r="N153" s="14" t="str">
        <f>_xlfn.XLOOKUP(LEFT([1]!MOVIMENTACOES[[#This Row],[Código]],3),'[1]BASE DE FABRICANTES'!A:A,'[1]BASE DE FABRICANTES'!B:B,"VERIFICAR",0,1)</f>
        <v>CODIF</v>
      </c>
      <c r="O153" s="14">
        <f>[1]!MOVIMENTACOES[[#This Row],[PREÇO NET]]*[1]!MOVIMENTACOES[[#This Row],[Qtde]]</f>
        <v>1600.1700000000003</v>
      </c>
      <c r="P153" s="3" t="s">
        <v>915</v>
      </c>
      <c r="Q153" s="3" t="s">
        <v>916</v>
      </c>
      <c r="R153" s="3" t="s">
        <v>49</v>
      </c>
      <c r="S153" s="3" t="s">
        <v>120</v>
      </c>
      <c r="T153" s="6">
        <v>46041</v>
      </c>
      <c r="U153" s="6" t="s">
        <v>682</v>
      </c>
      <c r="V153" s="3" t="s">
        <v>91</v>
      </c>
      <c r="W153" s="3"/>
      <c r="X153" s="3"/>
      <c r="Y153" s="3" t="s">
        <v>911</v>
      </c>
      <c r="Z153" s="3" t="s">
        <v>912</v>
      </c>
      <c r="AA153" s="3" t="s">
        <v>913</v>
      </c>
      <c r="AB153" s="3"/>
      <c r="AC153" s="3" t="s">
        <v>909</v>
      </c>
      <c r="AD153" s="3"/>
      <c r="AE153" s="3" t="s">
        <v>44</v>
      </c>
      <c r="AF153" s="3" t="s">
        <v>45</v>
      </c>
      <c r="AG153" s="3" t="s">
        <v>46</v>
      </c>
      <c r="AH153" s="3" t="s">
        <v>47</v>
      </c>
      <c r="AI153" s="3" t="s">
        <v>48</v>
      </c>
      <c r="AJ153" s="4">
        <v>0.92</v>
      </c>
      <c r="AK153" s="4">
        <v>0</v>
      </c>
      <c r="AL153" s="4">
        <v>0</v>
      </c>
      <c r="AM153" s="5">
        <v>1006.713</v>
      </c>
      <c r="AN153" s="5">
        <v>2201.467391304348</v>
      </c>
      <c r="AO153" s="5">
        <v>926.17596000000003</v>
      </c>
      <c r="AP153" s="5">
        <v>2025.3500000000001</v>
      </c>
      <c r="AQ153" s="5">
        <v>2025.35</v>
      </c>
      <c r="AR153" s="5">
        <v>364.56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/>
      <c r="AY153" s="5"/>
      <c r="AZ153" s="5"/>
      <c r="BA153" s="5">
        <v>0</v>
      </c>
      <c r="BB153" s="5">
        <v>0</v>
      </c>
      <c r="BC153" s="5">
        <v>0</v>
      </c>
      <c r="BD153" s="5">
        <v>1660.79</v>
      </c>
      <c r="BE153" s="5">
        <v>10.8</v>
      </c>
      <c r="BF153" s="5">
        <v>0</v>
      </c>
      <c r="BG153" s="5">
        <v>1660.79</v>
      </c>
      <c r="BH153" s="5">
        <v>49.82</v>
      </c>
      <c r="BI153" s="5">
        <v>0</v>
      </c>
      <c r="BJ153" s="5">
        <v>0</v>
      </c>
      <c r="BK153" s="5">
        <v>0</v>
      </c>
      <c r="BL153" s="3" t="s">
        <v>49</v>
      </c>
      <c r="BM153" s="3"/>
      <c r="BN153" s="3" t="s">
        <v>97</v>
      </c>
      <c r="BO153" s="3" t="s">
        <v>51</v>
      </c>
      <c r="BP153" s="3" t="s">
        <v>126</v>
      </c>
      <c r="BQ153" s="6">
        <v>46833</v>
      </c>
    </row>
    <row r="154" spans="1:69" x14ac:dyDescent="0.25">
      <c r="A154" s="11" t="str">
        <f>LEFT([1]!MOVIMENTACOES[[#This Row],[Código]],9)</f>
        <v>001004010</v>
      </c>
      <c r="B154" s="11" t="s">
        <v>149</v>
      </c>
      <c r="C154" s="11" t="str">
        <f>TRIM(IFERROR(LEFT([1]!MOVIMENTACOES[[#This Row],[Descrição]],SEARCH([1]!MOVIMENTACOES[[#This Row],[EMBALAGEM]],[1]!MOVIMENTACOES[[#This Row],[Descrição]],1)-1),[1]!MOVIMENTACOES[[#This Row],[Descrição]]))</f>
        <v>NEUROLIGHT 61G</v>
      </c>
      <c r="D154" s="11" t="str">
        <f>_xlfn.CONCAT([1]!MOVIMENTACOES[[#This Row],[FABRICANTE]],[1]!MOVIMENTACOES[[#This Row],[DESCRIÇÃO SEM EMBALAGEM]],[1]!MOVIMENTACOES[[#This Row],[Coluna1]])</f>
        <v>CODIFNEUROLIGHT 61G1</v>
      </c>
      <c r="E154" s="12">
        <f>_xlfn.XLOOKUP([1]!MOVIMENTACOES[[#This Row],[CONCAT]],'[2]PRICE LIST'!$G:$G,'[2]PRICE LIST'!$Q:$Q,"VERIFICAR",0,1)</f>
        <v>304.28483098000004</v>
      </c>
      <c r="F154" s="13">
        <f>_xlfn.XLOOKUP([1]!MOVIMENTACOES[[#This Row],[Data]],[1]PTAX!A:A,[1]PTAX!C:C,"VERIFICAR",0,1)*[1]!MOVIMENTACOES[[#This Row],[PREÇO DE LISTA DOLAR]]</f>
        <v>1632.3968327584062</v>
      </c>
      <c r="G154" s="14">
        <f>[1]!MOVIMENTACOES[[#This Row],[PREÇO NET]]-[1]!MOVIMENTACOES[[#This Row],[PREÇO DE LISTA REAL]]</f>
        <v>387.15316724159356</v>
      </c>
      <c r="H154" s="15">
        <f>-[1]!MOVIMENTACOES[[#This Row],[DESCONTO CONCEDIDO]]/[1]!MOVIMENTACOES[[#This Row],[PREÇO DE LISTA REAL]]</f>
        <v>-0.23716853615023648</v>
      </c>
      <c r="I154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2019.5499999999997</v>
      </c>
      <c r="J154" s="15">
        <f>VLOOKUP([1]!MOVIMENTACOES[[#This Row],[DESC %]],[1]!DESC[#Data],2,TRUE)</f>
        <v>0.01</v>
      </c>
      <c r="K154" s="15">
        <f>_xlfn.XLOOKUP([1]!MOVIMENTACOES[[#This Row],[NF-e]],'[1]PEDIDOS E COMISSOES'!A:A,'[1]PEDIDOS E COMISSOES'!E:E,"VERIFICAR",0,1)</f>
        <v>-1E-3</v>
      </c>
      <c r="L154" s="15">
        <f>IF([1]!MOVIMENTACOES[[#This Row],[PERCENTUAL DE COMISSÕES]]+[1]!MOVIMENTACOES[[#This Row],[AJUSTE COMISSÃO]]&lt;0.06%,0.05%,[1]!MOVIMENTACOES[[#This Row],[PERCENTUAL DE COMISSÕES]]+[1]!MOVIMENTACOES[[#This Row],[AJUSTE COMISSÃO]])</f>
        <v>9.0000000000000011E-3</v>
      </c>
      <c r="M154" s="16">
        <f>[1]!MOVIMENTACOES[[#This Row],[COMISSÃO FINAL]]*([1]!MOVIMENTACOES[[#This Row],[PREÇO NET]]*[1]!MOVIMENTACOES[[#This Row],[Qtde]])</f>
        <v>18.17595</v>
      </c>
      <c r="N154" s="14" t="str">
        <f>_xlfn.XLOOKUP(LEFT([1]!MOVIMENTACOES[[#This Row],[Código]],3),'[1]BASE DE FABRICANTES'!A:A,'[1]BASE DE FABRICANTES'!B:B,"VERIFICAR",0,1)</f>
        <v>CODIF</v>
      </c>
      <c r="O154" s="14">
        <f>[1]!MOVIMENTACOES[[#This Row],[PREÇO NET]]*[1]!MOVIMENTACOES[[#This Row],[Qtde]]</f>
        <v>2019.5499999999997</v>
      </c>
      <c r="P154" s="17" t="s">
        <v>387</v>
      </c>
      <c r="Q154" s="17" t="s">
        <v>622</v>
      </c>
      <c r="R154" s="17" t="s">
        <v>49</v>
      </c>
      <c r="S154" s="17" t="s">
        <v>120</v>
      </c>
      <c r="T154" s="18">
        <v>46041</v>
      </c>
      <c r="U154" s="18" t="s">
        <v>682</v>
      </c>
      <c r="V154" s="17" t="s">
        <v>91</v>
      </c>
      <c r="W154" s="17"/>
      <c r="X154" s="17"/>
      <c r="Y154" s="17" t="s">
        <v>911</v>
      </c>
      <c r="Z154" s="17" t="s">
        <v>912</v>
      </c>
      <c r="AA154" s="17" t="s">
        <v>913</v>
      </c>
      <c r="AB154" s="17"/>
      <c r="AC154" s="17" t="s">
        <v>909</v>
      </c>
      <c r="AD154" s="17" t="s">
        <v>125</v>
      </c>
      <c r="AE154" s="17" t="s">
        <v>44</v>
      </c>
      <c r="AF154" s="17" t="s">
        <v>45</v>
      </c>
      <c r="AG154" s="17" t="s">
        <v>46</v>
      </c>
      <c r="AH154" s="17" t="s">
        <v>47</v>
      </c>
      <c r="AI154" s="17" t="s">
        <v>48</v>
      </c>
      <c r="AJ154" s="19">
        <v>1</v>
      </c>
      <c r="AK154" s="19">
        <v>8</v>
      </c>
      <c r="AL154" s="19">
        <v>0</v>
      </c>
      <c r="AM154" s="20">
        <v>658.36235046110005</v>
      </c>
      <c r="AN154" s="20">
        <v>2556.16</v>
      </c>
      <c r="AO154" s="20">
        <v>658.36235046110005</v>
      </c>
      <c r="AP154" s="20">
        <v>2556.16</v>
      </c>
      <c r="AQ154" s="20">
        <v>2556.16</v>
      </c>
      <c r="AR154" s="20">
        <v>460.11</v>
      </c>
      <c r="AS154" s="20">
        <v>0</v>
      </c>
      <c r="AT154" s="20">
        <v>0</v>
      </c>
      <c r="AU154" s="20">
        <v>0</v>
      </c>
      <c r="AV154" s="20">
        <v>0</v>
      </c>
      <c r="AW154" s="20">
        <v>0</v>
      </c>
      <c r="AX154" s="20"/>
      <c r="AY154" s="20"/>
      <c r="AZ154" s="20"/>
      <c r="BA154" s="20">
        <v>0</v>
      </c>
      <c r="BB154" s="20">
        <v>0</v>
      </c>
      <c r="BC154" s="20">
        <v>0</v>
      </c>
      <c r="BD154" s="20">
        <v>2096.0500000000002</v>
      </c>
      <c r="BE154" s="20">
        <v>13.62</v>
      </c>
      <c r="BF154" s="20">
        <v>0</v>
      </c>
      <c r="BG154" s="20">
        <v>2096.0500000000002</v>
      </c>
      <c r="BH154" s="20">
        <v>62.88</v>
      </c>
      <c r="BI154" s="20">
        <v>0</v>
      </c>
      <c r="BJ154" s="20">
        <v>0</v>
      </c>
      <c r="BK154" s="20">
        <v>0</v>
      </c>
      <c r="BL154" s="17" t="s">
        <v>49</v>
      </c>
      <c r="BM154" s="17"/>
      <c r="BN154" s="17" t="s">
        <v>97</v>
      </c>
      <c r="BO154" s="17" t="s">
        <v>51</v>
      </c>
      <c r="BP154" s="17" t="s">
        <v>628</v>
      </c>
      <c r="BQ154" s="18">
        <v>46922</v>
      </c>
    </row>
    <row r="155" spans="1:69" x14ac:dyDescent="0.25">
      <c r="A155" s="11" t="str">
        <f>LEFT([1]!MOVIMENTACOES[[#This Row],[Código]],9)</f>
        <v>026005051</v>
      </c>
      <c r="B155" s="11" t="s">
        <v>569</v>
      </c>
      <c r="C155" s="11" t="str">
        <f>TRIM(IFERROR(LEFT([1]!MOVIMENTACOES[[#This Row],[Descrição]],SEARCH([1]!MOVIMENTACOES[[#This Row],[EMBALAGEM]],[1]!MOVIMENTACOES[[#This Row],[Descrição]],1)-1),[1]!MOVIMENTACOES[[#This Row],[Descrição]]))</f>
        <v>NATURESCRUB H50</v>
      </c>
      <c r="D155" s="11" t="str">
        <f>_xlfn.CONCAT([1]!MOVIMENTACOES[[#This Row],[FABRICANTE]],[1]!MOVIMENTACOES[[#This Row],[DESCRIÇÃO SEM EMBALAGEM]],[1]!MOVIMENTACOES[[#This Row],[Coluna1]])</f>
        <v>MICRO POWDERSNATURESCRUB H5055</v>
      </c>
      <c r="E155" s="12">
        <f>_xlfn.XLOOKUP([1]!MOVIMENTACOES[[#This Row],[CONCAT]],'[2]PRICE LIST'!$G:$G,'[2]PRICE LIST'!$Q:$Q,"VERIFICAR",0,1)</f>
        <v>41.585781818181808</v>
      </c>
      <c r="F155" s="13">
        <f>_xlfn.XLOOKUP([1]!MOVIMENTACOES[[#This Row],[Data]],[1]PTAX!A:A,[1]PTAX!C:C,"VERIFICAR",0,1)*[1]!MOVIMENTACOES[[#This Row],[PREÇO DE LISTA DOLAR]]</f>
        <v>223.09524371999996</v>
      </c>
      <c r="G155" s="14">
        <f>[1]!MOVIMENTACOES[[#This Row],[PREÇO NET]]-[1]!MOVIMENTACOES[[#This Row],[PREÇO DE LISTA REAL]]</f>
        <v>-67.729698265454516</v>
      </c>
      <c r="H155" s="15">
        <f>-[1]!MOVIMENTACOES[[#This Row],[DESCONTO CONCEDIDO]]/[1]!MOVIMENTACOES[[#This Row],[PREÇO DE LISTA REAL]]</f>
        <v>0.30359095575547096</v>
      </c>
      <c r="I155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155.36554545454544</v>
      </c>
      <c r="J155" s="15">
        <f>VLOOKUP([1]!MOVIMENTACOES[[#This Row],[DESC %]],[1]!DESC[#Data],2,TRUE)</f>
        <v>2.5000000000000001E-3</v>
      </c>
      <c r="K155" s="15">
        <f>_xlfn.XLOOKUP([1]!MOVIMENTACOES[[#This Row],[NF-e]],'[1]PEDIDOS E COMISSOES'!A:A,'[1]PEDIDOS E COMISSOES'!E:E,"VERIFICAR",0,1)</f>
        <v>-1E-3</v>
      </c>
      <c r="L155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55" s="16">
        <f>[1]!MOVIMENTACOES[[#This Row],[COMISSÃO FINAL]]*([1]!MOVIMENTACOES[[#This Row],[PREÇO NET]]*[1]!MOVIMENTACOES[[#This Row],[Qtde]])</f>
        <v>25.635314999999999</v>
      </c>
      <c r="N155" s="14" t="str">
        <f>_xlfn.XLOOKUP(LEFT([1]!MOVIMENTACOES[[#This Row],[Código]],3),'[1]BASE DE FABRICANTES'!A:A,'[1]BASE DE FABRICANTES'!B:B,"VERIFICAR",0,1)</f>
        <v>MICRO POWDERS</v>
      </c>
      <c r="O155" s="14">
        <f>[1]!MOVIMENTACOES[[#This Row],[PREÇO NET]]*[1]!MOVIMENTACOES[[#This Row],[Qtde]]</f>
        <v>17090.21</v>
      </c>
      <c r="P155" s="3" t="s">
        <v>581</v>
      </c>
      <c r="Q155" s="3" t="s">
        <v>582</v>
      </c>
      <c r="R155" s="3" t="s">
        <v>49</v>
      </c>
      <c r="S155" s="3" t="s">
        <v>572</v>
      </c>
      <c r="T155" s="6">
        <v>46041</v>
      </c>
      <c r="U155" s="6" t="s">
        <v>917</v>
      </c>
      <c r="V155" s="3" t="s">
        <v>91</v>
      </c>
      <c r="W155" s="3"/>
      <c r="X155" s="3"/>
      <c r="Y155" s="3" t="s">
        <v>918</v>
      </c>
      <c r="Z155" s="3" t="s">
        <v>919</v>
      </c>
      <c r="AA155" s="3" t="s">
        <v>920</v>
      </c>
      <c r="AB155" s="3"/>
      <c r="AC155" s="3" t="s">
        <v>107</v>
      </c>
      <c r="AD155" s="3" t="s">
        <v>576</v>
      </c>
      <c r="AE155" s="3" t="s">
        <v>44</v>
      </c>
      <c r="AF155" s="3" t="s">
        <v>45</v>
      </c>
      <c r="AG155" s="3" t="s">
        <v>46</v>
      </c>
      <c r="AH155" s="3" t="s">
        <v>116</v>
      </c>
      <c r="AI155" s="3" t="s">
        <v>110</v>
      </c>
      <c r="AJ155" s="4">
        <v>110</v>
      </c>
      <c r="AK155" s="4">
        <v>330</v>
      </c>
      <c r="AL155" s="4">
        <v>0</v>
      </c>
      <c r="AM155" s="5">
        <v>105.36765782160001</v>
      </c>
      <c r="AN155" s="5">
        <v>167.97</v>
      </c>
      <c r="AO155" s="5">
        <v>11590.442360376001</v>
      </c>
      <c r="AP155" s="5">
        <v>18476.7</v>
      </c>
      <c r="AQ155" s="5">
        <v>18476.7</v>
      </c>
      <c r="AR155" s="5">
        <v>739.07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/>
      <c r="AY155" s="5"/>
      <c r="AZ155" s="5"/>
      <c r="BA155" s="5">
        <v>0</v>
      </c>
      <c r="BB155" s="5">
        <v>0</v>
      </c>
      <c r="BC155" s="5">
        <v>0</v>
      </c>
      <c r="BD155" s="5">
        <v>17737.63</v>
      </c>
      <c r="BE155" s="5">
        <v>115.29</v>
      </c>
      <c r="BF155" s="5">
        <v>0</v>
      </c>
      <c r="BG155" s="5">
        <v>17737.63</v>
      </c>
      <c r="BH155" s="5">
        <v>532.13</v>
      </c>
      <c r="BI155" s="5">
        <v>0</v>
      </c>
      <c r="BJ155" s="5">
        <v>0</v>
      </c>
      <c r="BK155" s="5">
        <v>0</v>
      </c>
      <c r="BL155" s="3" t="s">
        <v>49</v>
      </c>
      <c r="BM155" s="3"/>
      <c r="BN155" s="3" t="s">
        <v>97</v>
      </c>
      <c r="BO155" s="3" t="s">
        <v>51</v>
      </c>
      <c r="BP155" s="3" t="s">
        <v>587</v>
      </c>
      <c r="BQ155" s="6">
        <v>47687</v>
      </c>
    </row>
    <row r="156" spans="1:69" x14ac:dyDescent="0.25">
      <c r="A156" s="11" t="str">
        <f>LEFT([1]!MOVIMENTACOES[[#This Row],[Código]],9)</f>
        <v>061004005</v>
      </c>
      <c r="B156" s="11" t="s">
        <v>149</v>
      </c>
      <c r="C156" s="11" t="str">
        <f>TRIM(IFERROR(LEFT([1]!MOVIMENTACOES[[#This Row],[Descrição]],SEARCH([1]!MOVIMENTACOES[[#This Row],[EMBALAGEM]],[1]!MOVIMENTACOES[[#This Row],[Descrição]],1)-1),[1]!MOVIMENTACOES[[#This Row],[Descrição]]))</f>
        <v>BIO-SODIUM HYALURONATE POWDER (VLMW)</v>
      </c>
      <c r="D156" s="11" t="str">
        <f>_xlfn.CONCAT([1]!MOVIMENTACOES[[#This Row],[FABRICANTE]],[1]!MOVIMENTACOES[[#This Row],[DESCRIÇÃO SEM EMBALAGEM]],[1]!MOVIMENTACOES[[#This Row],[Coluna1]])</f>
        <v>FOCUSBIO-SODIUM HYALURONATE POWDER (VLMW)1</v>
      </c>
      <c r="E156" s="12">
        <f>_xlfn.XLOOKUP([1]!MOVIMENTACOES[[#This Row],[CONCAT]],'[2]PRICE LIST'!$G:$G,'[2]PRICE LIST'!$Q:$Q,"VERIFICAR",0,1)</f>
        <v>1935.2736</v>
      </c>
      <c r="F156" s="13">
        <f>_xlfn.XLOOKUP([1]!MOVIMENTACOES[[#This Row],[Data]],[1]PTAX!A:A,[1]PTAX!C:C,"VERIFICAR",0,1)*[1]!MOVIMENTACOES[[#This Row],[PREÇO DE LISTA DOLAR]]</f>
        <v>10382.16228192</v>
      </c>
      <c r="G156" s="14">
        <f>[1]!MOVIMENTACOES[[#This Row],[PREÇO NET]]-[1]!MOVIMENTACOES[[#This Row],[PREÇO DE LISTA REAL]]</f>
        <v>-7256.6216152533325</v>
      </c>
      <c r="H156" s="15">
        <f>-[1]!MOVIMENTACOES[[#This Row],[DESCONTO CONCEDIDO]]/[1]!MOVIMENTACOES[[#This Row],[PREÇO DE LISTA REAL]]</f>
        <v>0.69895089464074012</v>
      </c>
      <c r="I156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3125.5406666666672</v>
      </c>
      <c r="J156" s="15">
        <f>VLOOKUP([1]!MOVIMENTACOES[[#This Row],[DESC %]],[1]!DESC[#Data],2,TRUE)</f>
        <v>2.5000000000000001E-3</v>
      </c>
      <c r="K156" s="15">
        <f>_xlfn.XLOOKUP([1]!MOVIMENTACOES[[#This Row],[NF-e]],'[1]PEDIDOS E COMISSOES'!A:A,'[1]PEDIDOS E COMISSOES'!E:E,"VERIFICAR",0,1)</f>
        <v>-1E-3</v>
      </c>
      <c r="L156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56" s="16">
        <f>[1]!MOVIMENTACOES[[#This Row],[COMISSÃO FINAL]]*([1]!MOVIMENTACOES[[#This Row],[PREÇO NET]]*[1]!MOVIMENTACOES[[#This Row],[Qtde]])</f>
        <v>70.32466500000001</v>
      </c>
      <c r="N156" s="14" t="str">
        <f>_xlfn.XLOOKUP(LEFT([1]!MOVIMENTACOES[[#This Row],[Código]],3),'[1]BASE DE FABRICANTES'!A:A,'[1]BASE DE FABRICANTES'!B:B,"VERIFICAR",0,1)</f>
        <v>FOCUS</v>
      </c>
      <c r="O156" s="14">
        <f>[1]!MOVIMENTACOES[[#This Row],[PREÇO NET]]*[1]!MOVIMENTACOES[[#This Row],[Qtde]]</f>
        <v>46883.110000000008</v>
      </c>
      <c r="P156" s="17" t="s">
        <v>921</v>
      </c>
      <c r="Q156" s="17" t="s">
        <v>922</v>
      </c>
      <c r="R156" s="17" t="s">
        <v>49</v>
      </c>
      <c r="S156" s="17" t="s">
        <v>102</v>
      </c>
      <c r="T156" s="18">
        <v>46041</v>
      </c>
      <c r="U156" s="18" t="s">
        <v>923</v>
      </c>
      <c r="V156" s="17" t="s">
        <v>91</v>
      </c>
      <c r="W156" s="17"/>
      <c r="X156" s="17"/>
      <c r="Y156" s="17" t="s">
        <v>924</v>
      </c>
      <c r="Z156" s="17" t="s">
        <v>925</v>
      </c>
      <c r="AA156" s="17" t="s">
        <v>926</v>
      </c>
      <c r="AB156" s="17"/>
      <c r="AC156" s="17" t="s">
        <v>53</v>
      </c>
      <c r="AD156" s="17" t="s">
        <v>54</v>
      </c>
      <c r="AE156" s="17" t="s">
        <v>44</v>
      </c>
      <c r="AF156" s="17" t="s">
        <v>45</v>
      </c>
      <c r="AG156" s="17" t="s">
        <v>46</v>
      </c>
      <c r="AH156" s="17" t="s">
        <v>47</v>
      </c>
      <c r="AI156" s="17" t="s">
        <v>48</v>
      </c>
      <c r="AJ156" s="19">
        <v>15</v>
      </c>
      <c r="AK156" s="19">
        <v>60</v>
      </c>
      <c r="AL156" s="19">
        <v>0</v>
      </c>
      <c r="AM156" s="20">
        <v>1366.4572838966001</v>
      </c>
      <c r="AN156" s="20">
        <v>3956.03</v>
      </c>
      <c r="AO156" s="20">
        <v>20496.859258449</v>
      </c>
      <c r="AP156" s="20">
        <v>59340.45</v>
      </c>
      <c r="AQ156" s="20">
        <v>59340.45</v>
      </c>
      <c r="AR156" s="20">
        <v>10681.28</v>
      </c>
      <c r="AS156" s="20">
        <v>0</v>
      </c>
      <c r="AT156" s="20">
        <v>0</v>
      </c>
      <c r="AU156" s="20">
        <v>0</v>
      </c>
      <c r="AV156" s="20">
        <v>0</v>
      </c>
      <c r="AW156" s="20">
        <v>0</v>
      </c>
      <c r="AX156" s="20"/>
      <c r="AY156" s="20"/>
      <c r="AZ156" s="20"/>
      <c r="BA156" s="20">
        <v>59340.45</v>
      </c>
      <c r="BB156" s="20">
        <v>1928.56</v>
      </c>
      <c r="BC156" s="20">
        <v>0</v>
      </c>
      <c r="BD156" s="20">
        <v>48659.17</v>
      </c>
      <c r="BE156" s="20">
        <v>316.27999999999997</v>
      </c>
      <c r="BF156" s="20">
        <v>0</v>
      </c>
      <c r="BG156" s="20">
        <v>48659.17</v>
      </c>
      <c r="BH156" s="20">
        <v>1459.78</v>
      </c>
      <c r="BI156" s="20">
        <v>0</v>
      </c>
      <c r="BJ156" s="20">
        <v>0</v>
      </c>
      <c r="BK156" s="20">
        <v>0</v>
      </c>
      <c r="BL156" s="17" t="s">
        <v>49</v>
      </c>
      <c r="BM156" s="17"/>
      <c r="BN156" s="17" t="s">
        <v>55</v>
      </c>
      <c r="BO156" s="17" t="s">
        <v>51</v>
      </c>
      <c r="BP156" s="17" t="s">
        <v>927</v>
      </c>
      <c r="BQ156" s="18">
        <v>46667</v>
      </c>
    </row>
    <row r="157" spans="1:69" x14ac:dyDescent="0.25">
      <c r="A157" s="11" t="str">
        <f>LEFT([1]!MOVIMENTACOES[[#This Row],[Código]],9)</f>
        <v>067004016</v>
      </c>
      <c r="B157" s="11" t="s">
        <v>204</v>
      </c>
      <c r="C157" s="11" t="str">
        <f>TRIM(IFERROR(LEFT([1]!MOVIMENTACOES[[#This Row],[Descrição]],SEARCH([1]!MOVIMENTACOES[[#This Row],[EMBALAGEM]],[1]!MOVIMENTACOES[[#This Row],[Descrição]],1)-1),[1]!MOVIMENTACOES[[#This Row],[Descrição]]))</f>
        <v>SALICYLIC ACID</v>
      </c>
      <c r="D157" s="11" t="str">
        <f>_xlfn.CONCAT([1]!MOVIMENTACOES[[#This Row],[FABRICANTE]],[1]!MOVIMENTACOES[[#This Row],[DESCRIÇÃO SEM EMBALAGEM]],[1]!MOVIMENTACOES[[#This Row],[Coluna1]])</f>
        <v>CHEMAXCELSALICYLIC ACID25</v>
      </c>
      <c r="E157" s="12">
        <f>_xlfn.XLOOKUP([1]!MOVIMENTACOES[[#This Row],[CONCAT]],'[2]PRICE LIST'!$G:$G,'[2]PRICE LIST'!$Q:$Q,"VERIFICAR",0,1)</f>
        <v>14.499999999999998</v>
      </c>
      <c r="F157" s="13">
        <f>_xlfn.XLOOKUP([1]!MOVIMENTACOES[[#This Row],[Data]],[1]PTAX!A:A,[1]PTAX!C:C,"VERIFICAR",0,1)*[1]!MOVIMENTACOES[[#This Row],[PREÇO DE LISTA DOLAR]]</f>
        <v>77.788149999999987</v>
      </c>
      <c r="G157" s="14">
        <f>[1]!MOVIMENTACOES[[#This Row],[PREÇO NET]]-[1]!MOVIMENTACOES[[#This Row],[PREÇO DE LISTA REAL]]</f>
        <v>-29.672949999999986</v>
      </c>
      <c r="H157" s="15">
        <f>-[1]!MOVIMENTACOES[[#This Row],[DESCONTO CONCEDIDO]]/[1]!MOVIMENTACOES[[#This Row],[PREÇO DE LISTA REAL]]</f>
        <v>0.38145848692892159</v>
      </c>
      <c r="I157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48.115200000000002</v>
      </c>
      <c r="J157" s="15">
        <f>VLOOKUP([1]!MOVIMENTACOES[[#This Row],[DESC %]],[1]!DESC[#Data],2,TRUE)</f>
        <v>2.5000000000000001E-3</v>
      </c>
      <c r="K157" s="15">
        <f>_xlfn.XLOOKUP([1]!MOVIMENTACOES[[#This Row],[NF-e]],'[1]PEDIDOS E COMISSOES'!A:A,'[1]PEDIDOS E COMISSOES'!E:E,"VERIFICAR",0,1)</f>
        <v>-1E-3</v>
      </c>
      <c r="L157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57" s="16">
        <f>[1]!MOVIMENTACOES[[#This Row],[COMISSÃO FINAL]]*([1]!MOVIMENTACOES[[#This Row],[PREÇO NET]]*[1]!MOVIMENTACOES[[#This Row],[Qtde]])</f>
        <v>3.6086400000000003</v>
      </c>
      <c r="N157" s="14" t="str">
        <f>_xlfn.XLOOKUP(LEFT([1]!MOVIMENTACOES[[#This Row],[Código]],3),'[1]BASE DE FABRICANTES'!A:A,'[1]BASE DE FABRICANTES'!B:B,"VERIFICAR",0,1)</f>
        <v>CHEMAXCEL</v>
      </c>
      <c r="O157" s="14">
        <f>[1]!MOVIMENTACOES[[#This Row],[PREÇO NET]]*[1]!MOVIMENTACOES[[#This Row],[Qtde]]</f>
        <v>2405.7600000000002</v>
      </c>
      <c r="P157" s="3" t="s">
        <v>618</v>
      </c>
      <c r="Q157" s="3" t="s">
        <v>619</v>
      </c>
      <c r="R157" s="3" t="s">
        <v>49</v>
      </c>
      <c r="S157" s="3" t="s">
        <v>620</v>
      </c>
      <c r="T157" s="6">
        <v>46041</v>
      </c>
      <c r="U157" s="6" t="s">
        <v>928</v>
      </c>
      <c r="V157" s="3" t="s">
        <v>91</v>
      </c>
      <c r="W157" s="3"/>
      <c r="X157" s="3"/>
      <c r="Y157" s="3" t="s">
        <v>929</v>
      </c>
      <c r="Z157" s="3" t="s">
        <v>930</v>
      </c>
      <c r="AA157" s="3" t="s">
        <v>931</v>
      </c>
      <c r="AB157" s="3"/>
      <c r="AC157" s="3" t="s">
        <v>53</v>
      </c>
      <c r="AD157" s="3" t="s">
        <v>134</v>
      </c>
      <c r="AE157" s="3" t="s">
        <v>44</v>
      </c>
      <c r="AF157" s="3" t="s">
        <v>45</v>
      </c>
      <c r="AG157" s="3" t="s">
        <v>46</v>
      </c>
      <c r="AH157" s="3" t="s">
        <v>47</v>
      </c>
      <c r="AI157" s="3" t="s">
        <v>932</v>
      </c>
      <c r="AJ157" s="4">
        <v>50</v>
      </c>
      <c r="AK157" s="4">
        <v>2950</v>
      </c>
      <c r="AL157" s="4">
        <v>1250</v>
      </c>
      <c r="AM157" s="5">
        <v>22.025158685200001</v>
      </c>
      <c r="AN157" s="5">
        <v>60.9</v>
      </c>
      <c r="AO157" s="5">
        <v>1101.25793426</v>
      </c>
      <c r="AP157" s="5">
        <v>3045</v>
      </c>
      <c r="AQ157" s="5">
        <v>3045</v>
      </c>
      <c r="AR157" s="5">
        <v>548.1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/>
      <c r="AY157" s="5"/>
      <c r="AZ157" s="5"/>
      <c r="BA157" s="5">
        <v>0</v>
      </c>
      <c r="BB157" s="5">
        <v>0</v>
      </c>
      <c r="BC157" s="5">
        <v>0</v>
      </c>
      <c r="BD157" s="5">
        <v>2496.9</v>
      </c>
      <c r="BE157" s="5">
        <v>16.23</v>
      </c>
      <c r="BF157" s="5">
        <v>0</v>
      </c>
      <c r="BG157" s="5">
        <v>2496.9</v>
      </c>
      <c r="BH157" s="5">
        <v>74.91</v>
      </c>
      <c r="BI157" s="5">
        <v>0</v>
      </c>
      <c r="BJ157" s="5">
        <v>0</v>
      </c>
      <c r="BK157" s="5">
        <v>0</v>
      </c>
      <c r="BL157" s="3" t="s">
        <v>49</v>
      </c>
      <c r="BM157" s="3"/>
      <c r="BN157" s="3" t="s">
        <v>55</v>
      </c>
      <c r="BO157" s="3" t="s">
        <v>51</v>
      </c>
      <c r="BP157" s="3" t="s">
        <v>621</v>
      </c>
      <c r="BQ157" s="6">
        <v>46994</v>
      </c>
    </row>
    <row r="158" spans="1:69" x14ac:dyDescent="0.25">
      <c r="A158" s="11" t="str">
        <f>LEFT([1]!MOVIMENTACOES[[#This Row],[Código]],9)</f>
        <v>067004016</v>
      </c>
      <c r="B158" s="11" t="s">
        <v>204</v>
      </c>
      <c r="C158" s="11" t="str">
        <f>TRIM(IFERROR(LEFT([1]!MOVIMENTACOES[[#This Row],[Descrição]],SEARCH([1]!MOVIMENTACOES[[#This Row],[EMBALAGEM]],[1]!MOVIMENTACOES[[#This Row],[Descrição]],1)-1),[1]!MOVIMENTACOES[[#This Row],[Descrição]]))</f>
        <v>SALICYLIC ACID</v>
      </c>
      <c r="D158" s="11" t="str">
        <f>_xlfn.CONCAT([1]!MOVIMENTACOES[[#This Row],[FABRICANTE]],[1]!MOVIMENTACOES[[#This Row],[DESCRIÇÃO SEM EMBALAGEM]],[1]!MOVIMENTACOES[[#This Row],[Coluna1]])</f>
        <v>CHEMAXCELSALICYLIC ACID25</v>
      </c>
      <c r="E158" s="12">
        <f>_xlfn.XLOOKUP([1]!MOVIMENTACOES[[#This Row],[CONCAT]],'[2]PRICE LIST'!$G:$G,'[2]PRICE LIST'!$Q:$Q,"VERIFICAR",0,1)</f>
        <v>14.499999999999998</v>
      </c>
      <c r="F158" s="13">
        <f>_xlfn.XLOOKUP([1]!MOVIMENTACOES[[#This Row],[Data]],[1]PTAX!A:A,[1]PTAX!C:C,"VERIFICAR",0,1)*[1]!MOVIMENTACOES[[#This Row],[PREÇO DE LISTA DOLAR]]</f>
        <v>77.788149999999987</v>
      </c>
      <c r="G158" s="14">
        <f>[1]!MOVIMENTACOES[[#This Row],[PREÇO NET]]-[1]!MOVIMENTACOES[[#This Row],[PREÇO DE LISTA REAL]]</f>
        <v>-29.672891176470571</v>
      </c>
      <c r="H158" s="15">
        <f>-[1]!MOVIMENTACOES[[#This Row],[DESCONTO CONCEDIDO]]/[1]!MOVIMENTACOES[[#This Row],[PREÇO DE LISTA REAL]]</f>
        <v>0.38145773072724543</v>
      </c>
      <c r="I158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48.115258823529416</v>
      </c>
      <c r="J158" s="15">
        <f>VLOOKUP([1]!MOVIMENTACOES[[#This Row],[DESC %]],[1]!DESC[#Data],2,TRUE)</f>
        <v>2.5000000000000001E-3</v>
      </c>
      <c r="K158" s="15">
        <f>_xlfn.XLOOKUP([1]!MOVIMENTACOES[[#This Row],[NF-e]],'[1]PEDIDOS E COMISSOES'!A:A,'[1]PEDIDOS E COMISSOES'!E:E,"VERIFICAR",0,1)</f>
        <v>-1E-3</v>
      </c>
      <c r="L158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58" s="16">
        <f>[1]!MOVIMENTACOES[[#This Row],[COMISSÃO FINAL]]*([1]!MOVIMENTACOES[[#This Row],[PREÇO NET]]*[1]!MOVIMENTACOES[[#This Row],[Qtde]])</f>
        <v>61.346955000000001</v>
      </c>
      <c r="N158" s="14" t="str">
        <f>_xlfn.XLOOKUP(LEFT([1]!MOVIMENTACOES[[#This Row],[Código]],3),'[1]BASE DE FABRICANTES'!A:A,'[1]BASE DE FABRICANTES'!B:B,"VERIFICAR",0,1)</f>
        <v>CHEMAXCEL</v>
      </c>
      <c r="O158" s="14">
        <f>[1]!MOVIMENTACOES[[#This Row],[PREÇO NET]]*[1]!MOVIMENTACOES[[#This Row],[Qtde]]</f>
        <v>40897.97</v>
      </c>
      <c r="P158" s="17" t="s">
        <v>618</v>
      </c>
      <c r="Q158" s="17" t="s">
        <v>619</v>
      </c>
      <c r="R158" s="17" t="s">
        <v>49</v>
      </c>
      <c r="S158" s="17" t="s">
        <v>620</v>
      </c>
      <c r="T158" s="18">
        <v>46041</v>
      </c>
      <c r="U158" s="18" t="s">
        <v>928</v>
      </c>
      <c r="V158" s="17" t="s">
        <v>91</v>
      </c>
      <c r="W158" s="17"/>
      <c r="X158" s="17"/>
      <c r="Y158" s="17" t="s">
        <v>929</v>
      </c>
      <c r="Z158" s="17" t="s">
        <v>930</v>
      </c>
      <c r="AA158" s="17" t="s">
        <v>931</v>
      </c>
      <c r="AB158" s="17"/>
      <c r="AC158" s="17" t="s">
        <v>53</v>
      </c>
      <c r="AD158" s="17" t="s">
        <v>134</v>
      </c>
      <c r="AE158" s="17" t="s">
        <v>44</v>
      </c>
      <c r="AF158" s="17" t="s">
        <v>45</v>
      </c>
      <c r="AG158" s="17" t="s">
        <v>46</v>
      </c>
      <c r="AH158" s="17" t="s">
        <v>47</v>
      </c>
      <c r="AI158" s="17" t="s">
        <v>932</v>
      </c>
      <c r="AJ158" s="19">
        <v>850</v>
      </c>
      <c r="AK158" s="19">
        <v>2100</v>
      </c>
      <c r="AL158" s="19">
        <v>1250</v>
      </c>
      <c r="AM158" s="20">
        <v>22.025158685200001</v>
      </c>
      <c r="AN158" s="20">
        <v>60.9</v>
      </c>
      <c r="AO158" s="20">
        <v>18721.384882419999</v>
      </c>
      <c r="AP158" s="20">
        <v>51765</v>
      </c>
      <c r="AQ158" s="20">
        <v>51765</v>
      </c>
      <c r="AR158" s="20">
        <v>9317.7000000000007</v>
      </c>
      <c r="AS158" s="20">
        <v>0</v>
      </c>
      <c r="AT158" s="20">
        <v>0</v>
      </c>
      <c r="AU158" s="20">
        <v>0</v>
      </c>
      <c r="AV158" s="20">
        <v>0</v>
      </c>
      <c r="AW158" s="20">
        <v>0</v>
      </c>
      <c r="AX158" s="20"/>
      <c r="AY158" s="20"/>
      <c r="AZ158" s="20"/>
      <c r="BA158" s="20">
        <v>0</v>
      </c>
      <c r="BB158" s="20">
        <v>0</v>
      </c>
      <c r="BC158" s="20">
        <v>0</v>
      </c>
      <c r="BD158" s="20">
        <v>42447.3</v>
      </c>
      <c r="BE158" s="20">
        <v>275.91000000000003</v>
      </c>
      <c r="BF158" s="20">
        <v>0</v>
      </c>
      <c r="BG158" s="20">
        <v>42447.3</v>
      </c>
      <c r="BH158" s="20">
        <v>1273.42</v>
      </c>
      <c r="BI158" s="20">
        <v>0</v>
      </c>
      <c r="BJ158" s="20">
        <v>0</v>
      </c>
      <c r="BK158" s="20">
        <v>0</v>
      </c>
      <c r="BL158" s="17" t="s">
        <v>49</v>
      </c>
      <c r="BM158" s="17"/>
      <c r="BN158" s="17" t="s">
        <v>55</v>
      </c>
      <c r="BO158" s="17" t="s">
        <v>51</v>
      </c>
      <c r="BP158" s="17" t="s">
        <v>875</v>
      </c>
      <c r="BQ158" s="18">
        <v>47047</v>
      </c>
    </row>
    <row r="159" spans="1:69" x14ac:dyDescent="0.25">
      <c r="A159" s="11" t="str">
        <f>LEFT([1]!MOVIMENTACOES[[#This Row],[Código]],9)</f>
        <v>067004016</v>
      </c>
      <c r="B159" s="11" t="s">
        <v>204</v>
      </c>
      <c r="C159" s="11" t="str">
        <f>TRIM(IFERROR(LEFT([1]!MOVIMENTACOES[[#This Row],[Descrição]],SEARCH([1]!MOVIMENTACOES[[#This Row],[EMBALAGEM]],[1]!MOVIMENTACOES[[#This Row],[Descrição]],1)-1),[1]!MOVIMENTACOES[[#This Row],[Descrição]]))</f>
        <v>SALICYLIC ACID</v>
      </c>
      <c r="D159" s="11" t="str">
        <f>_xlfn.CONCAT([1]!MOVIMENTACOES[[#This Row],[FABRICANTE]],[1]!MOVIMENTACOES[[#This Row],[DESCRIÇÃO SEM EMBALAGEM]],[1]!MOVIMENTACOES[[#This Row],[Coluna1]])</f>
        <v>CHEMAXCELSALICYLIC ACID25</v>
      </c>
      <c r="E159" s="12">
        <f>_xlfn.XLOOKUP([1]!MOVIMENTACOES[[#This Row],[CONCAT]],'[2]PRICE LIST'!$G:$G,'[2]PRICE LIST'!$Q:$Q,"VERIFICAR",0,1)</f>
        <v>14.499999999999998</v>
      </c>
      <c r="F159" s="13">
        <f>_xlfn.XLOOKUP([1]!MOVIMENTACOES[[#This Row],[Data]],[1]PTAX!A:A,[1]PTAX!C:C,"VERIFICAR",0,1)*[1]!MOVIMENTACOES[[#This Row],[PREÇO DE LISTA DOLAR]]</f>
        <v>77.788149999999987</v>
      </c>
      <c r="G159" s="14">
        <f>[1]!MOVIMENTACOES[[#This Row],[PREÇO NET]]-[1]!MOVIMENTACOES[[#This Row],[PREÇO DE LISTA REAL]]</f>
        <v>-29.672883333333324</v>
      </c>
      <c r="H159" s="15">
        <f>-[1]!MOVIMENTACOES[[#This Row],[DESCONTO CONCEDIDO]]/[1]!MOVIMENTACOES[[#This Row],[PREÇO DE LISTA REAL]]</f>
        <v>0.38145762990035537</v>
      </c>
      <c r="I159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48.115266666666663</v>
      </c>
      <c r="J159" s="15">
        <f>VLOOKUP([1]!MOVIMENTACOES[[#This Row],[DESC %]],[1]!DESC[#Data],2,TRUE)</f>
        <v>2.5000000000000001E-3</v>
      </c>
      <c r="K159" s="15">
        <f>_xlfn.XLOOKUP([1]!MOVIMENTACOES[[#This Row],[NF-e]],'[1]PEDIDOS E COMISSOES'!A:A,'[1]PEDIDOS E COMISSOES'!E:E,"VERIFICAR",0,1)</f>
        <v>-1E-3</v>
      </c>
      <c r="L159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59" s="16">
        <f>[1]!MOVIMENTACOES[[#This Row],[COMISSÃO FINAL]]*([1]!MOVIMENTACOES[[#This Row],[PREÇO NET]]*[1]!MOVIMENTACOES[[#This Row],[Qtde]])</f>
        <v>32.477804999999996</v>
      </c>
      <c r="N159" s="14" t="str">
        <f>_xlfn.XLOOKUP(LEFT([1]!MOVIMENTACOES[[#This Row],[Código]],3),'[1]BASE DE FABRICANTES'!A:A,'[1]BASE DE FABRICANTES'!B:B,"VERIFICAR",0,1)</f>
        <v>CHEMAXCEL</v>
      </c>
      <c r="O159" s="14">
        <f>[1]!MOVIMENTACOES[[#This Row],[PREÇO NET]]*[1]!MOVIMENTACOES[[#This Row],[Qtde]]</f>
        <v>21651.87</v>
      </c>
      <c r="P159" s="3" t="s">
        <v>618</v>
      </c>
      <c r="Q159" s="3" t="s">
        <v>619</v>
      </c>
      <c r="R159" s="3" t="s">
        <v>49</v>
      </c>
      <c r="S159" s="3" t="s">
        <v>620</v>
      </c>
      <c r="T159" s="6">
        <v>46041</v>
      </c>
      <c r="U159" s="6" t="s">
        <v>928</v>
      </c>
      <c r="V159" s="3" t="s">
        <v>91</v>
      </c>
      <c r="W159" s="3"/>
      <c r="X159" s="3"/>
      <c r="Y159" s="3" t="s">
        <v>929</v>
      </c>
      <c r="Z159" s="3" t="s">
        <v>930</v>
      </c>
      <c r="AA159" s="3" t="s">
        <v>931</v>
      </c>
      <c r="AB159" s="3"/>
      <c r="AC159" s="3" t="s">
        <v>53</v>
      </c>
      <c r="AD159" s="3" t="s">
        <v>134</v>
      </c>
      <c r="AE159" s="3" t="s">
        <v>44</v>
      </c>
      <c r="AF159" s="3" t="s">
        <v>45</v>
      </c>
      <c r="AG159" s="3" t="s">
        <v>46</v>
      </c>
      <c r="AH159" s="3" t="s">
        <v>47</v>
      </c>
      <c r="AI159" s="3" t="s">
        <v>932</v>
      </c>
      <c r="AJ159" s="4">
        <v>450</v>
      </c>
      <c r="AK159" s="4">
        <v>1650</v>
      </c>
      <c r="AL159" s="4">
        <v>1250</v>
      </c>
      <c r="AM159" s="5">
        <v>22.025158685200001</v>
      </c>
      <c r="AN159" s="5">
        <v>60.9</v>
      </c>
      <c r="AO159" s="5">
        <v>9911.3214083399998</v>
      </c>
      <c r="AP159" s="5">
        <v>27405</v>
      </c>
      <c r="AQ159" s="5">
        <v>27405</v>
      </c>
      <c r="AR159" s="5">
        <v>4932.8999999999996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/>
      <c r="AY159" s="5"/>
      <c r="AZ159" s="5"/>
      <c r="BA159" s="5">
        <v>0</v>
      </c>
      <c r="BB159" s="5">
        <v>0</v>
      </c>
      <c r="BC159" s="5">
        <v>0</v>
      </c>
      <c r="BD159" s="5">
        <v>22472.1</v>
      </c>
      <c r="BE159" s="5">
        <v>146.07</v>
      </c>
      <c r="BF159" s="5">
        <v>0</v>
      </c>
      <c r="BG159" s="5">
        <v>22472.1</v>
      </c>
      <c r="BH159" s="5">
        <v>674.16</v>
      </c>
      <c r="BI159" s="5">
        <v>0</v>
      </c>
      <c r="BJ159" s="5">
        <v>0</v>
      </c>
      <c r="BK159" s="5">
        <v>0</v>
      </c>
      <c r="BL159" s="3" t="s">
        <v>49</v>
      </c>
      <c r="BM159" s="3"/>
      <c r="BN159" s="3" t="s">
        <v>55</v>
      </c>
      <c r="BO159" s="3" t="s">
        <v>51</v>
      </c>
      <c r="BP159" s="3" t="s">
        <v>819</v>
      </c>
      <c r="BQ159" s="6">
        <v>47048</v>
      </c>
    </row>
    <row r="160" spans="1:69" x14ac:dyDescent="0.25">
      <c r="A160" s="11" t="str">
        <f>LEFT([1]!MOVIMENTACOES[[#This Row],[Código]],9)</f>
        <v>067004016</v>
      </c>
      <c r="B160" s="11" t="s">
        <v>204</v>
      </c>
      <c r="C160" s="11" t="str">
        <f>TRIM(IFERROR(LEFT([1]!MOVIMENTACOES[[#This Row],[Descrição]],SEARCH([1]!MOVIMENTACOES[[#This Row],[EMBALAGEM]],[1]!MOVIMENTACOES[[#This Row],[Descrição]],1)-1),[1]!MOVIMENTACOES[[#This Row],[Descrição]]))</f>
        <v>SALICYLIC ACID</v>
      </c>
      <c r="D160" s="11" t="str">
        <f>_xlfn.CONCAT([1]!MOVIMENTACOES[[#This Row],[FABRICANTE]],[1]!MOVIMENTACOES[[#This Row],[DESCRIÇÃO SEM EMBALAGEM]],[1]!MOVIMENTACOES[[#This Row],[Coluna1]])</f>
        <v>CHEMAXCELSALICYLIC ACID25</v>
      </c>
      <c r="E160" s="12">
        <f>_xlfn.XLOOKUP([1]!MOVIMENTACOES[[#This Row],[CONCAT]],'[2]PRICE LIST'!$G:$G,'[2]PRICE LIST'!$Q:$Q,"VERIFICAR",0,1)</f>
        <v>14.499999999999998</v>
      </c>
      <c r="F160" s="13">
        <f>_xlfn.XLOOKUP([1]!MOVIMENTACOES[[#This Row],[Data]],[1]PTAX!A:A,[1]PTAX!C:C,"VERIFICAR",0,1)*[1]!MOVIMENTACOES[[#This Row],[PREÇO DE LISTA DOLAR]]</f>
        <v>77.788149999999987</v>
      </c>
      <c r="G160" s="14">
        <f>[1]!MOVIMENTACOES[[#This Row],[PREÇO NET]]-[1]!MOVIMENTACOES[[#This Row],[PREÇO DE LISTA REAL]]</f>
        <v>-29.672893999999985</v>
      </c>
      <c r="H160" s="15">
        <f>-[1]!MOVIMENTACOES[[#This Row],[DESCONTO CONCEDIDO]]/[1]!MOVIMENTACOES[[#This Row],[PREÇO DE LISTA REAL]]</f>
        <v>0.3814577670249259</v>
      </c>
      <c r="I160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48.115256000000002</v>
      </c>
      <c r="J160" s="15">
        <f>VLOOKUP([1]!MOVIMENTACOES[[#This Row],[DESC %]],[1]!DESC[#Data],2,TRUE)</f>
        <v>2.5000000000000001E-3</v>
      </c>
      <c r="K160" s="15">
        <f>_xlfn.XLOOKUP([1]!MOVIMENTACOES[[#This Row],[NF-e]],'[1]PEDIDOS E COMISSOES'!A:A,'[1]PEDIDOS E COMISSOES'!E:E,"VERIFICAR",0,1)</f>
        <v>-1E-3</v>
      </c>
      <c r="L160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60" s="16">
        <f>[1]!MOVIMENTACOES[[#This Row],[COMISSÃO FINAL]]*([1]!MOVIMENTACOES[[#This Row],[PREÇO NET]]*[1]!MOVIMENTACOES[[#This Row],[Qtde]])</f>
        <v>90.216104999999999</v>
      </c>
      <c r="N160" s="14" t="str">
        <f>_xlfn.XLOOKUP(LEFT([1]!MOVIMENTACOES[[#This Row],[Código]],3),'[1]BASE DE FABRICANTES'!A:A,'[1]BASE DE FABRICANTES'!B:B,"VERIFICAR",0,1)</f>
        <v>CHEMAXCEL</v>
      </c>
      <c r="O160" s="14">
        <f>[1]!MOVIMENTACOES[[#This Row],[PREÇO NET]]*[1]!MOVIMENTACOES[[#This Row],[Qtde]]</f>
        <v>60144.07</v>
      </c>
      <c r="P160" s="17" t="s">
        <v>618</v>
      </c>
      <c r="Q160" s="17" t="s">
        <v>619</v>
      </c>
      <c r="R160" s="17" t="s">
        <v>49</v>
      </c>
      <c r="S160" s="17" t="s">
        <v>620</v>
      </c>
      <c r="T160" s="18">
        <v>46041</v>
      </c>
      <c r="U160" s="18" t="s">
        <v>928</v>
      </c>
      <c r="V160" s="17" t="s">
        <v>91</v>
      </c>
      <c r="W160" s="17"/>
      <c r="X160" s="17"/>
      <c r="Y160" s="17" t="s">
        <v>929</v>
      </c>
      <c r="Z160" s="17" t="s">
        <v>930</v>
      </c>
      <c r="AA160" s="17" t="s">
        <v>931</v>
      </c>
      <c r="AB160" s="17"/>
      <c r="AC160" s="17" t="s">
        <v>53</v>
      </c>
      <c r="AD160" s="17" t="s">
        <v>134</v>
      </c>
      <c r="AE160" s="17" t="s">
        <v>44</v>
      </c>
      <c r="AF160" s="17" t="s">
        <v>45</v>
      </c>
      <c r="AG160" s="17" t="s">
        <v>46</v>
      </c>
      <c r="AH160" s="17" t="s">
        <v>47</v>
      </c>
      <c r="AI160" s="17" t="s">
        <v>932</v>
      </c>
      <c r="AJ160" s="19">
        <v>1250</v>
      </c>
      <c r="AK160" s="19">
        <v>400</v>
      </c>
      <c r="AL160" s="19">
        <v>1250</v>
      </c>
      <c r="AM160" s="20">
        <v>22.025158685200001</v>
      </c>
      <c r="AN160" s="20">
        <v>60.9</v>
      </c>
      <c r="AO160" s="20">
        <v>27531.448356500001</v>
      </c>
      <c r="AP160" s="20">
        <v>76125</v>
      </c>
      <c r="AQ160" s="20">
        <v>76125</v>
      </c>
      <c r="AR160" s="20">
        <v>13702.5</v>
      </c>
      <c r="AS160" s="20">
        <v>0</v>
      </c>
      <c r="AT160" s="20">
        <v>0</v>
      </c>
      <c r="AU160" s="20">
        <v>0</v>
      </c>
      <c r="AV160" s="20">
        <v>0</v>
      </c>
      <c r="AW160" s="20">
        <v>0</v>
      </c>
      <c r="AX160" s="20"/>
      <c r="AY160" s="20"/>
      <c r="AZ160" s="20"/>
      <c r="BA160" s="20">
        <v>0</v>
      </c>
      <c r="BB160" s="20">
        <v>0</v>
      </c>
      <c r="BC160" s="20">
        <v>0</v>
      </c>
      <c r="BD160" s="20">
        <v>62422.5</v>
      </c>
      <c r="BE160" s="20">
        <v>405.75</v>
      </c>
      <c r="BF160" s="20">
        <v>0</v>
      </c>
      <c r="BG160" s="20">
        <v>62422.5</v>
      </c>
      <c r="BH160" s="20">
        <v>1872.68</v>
      </c>
      <c r="BI160" s="20">
        <v>0</v>
      </c>
      <c r="BJ160" s="20">
        <v>0</v>
      </c>
      <c r="BK160" s="20">
        <v>0</v>
      </c>
      <c r="BL160" s="17" t="s">
        <v>49</v>
      </c>
      <c r="BM160" s="17"/>
      <c r="BN160" s="17" t="s">
        <v>55</v>
      </c>
      <c r="BO160" s="17" t="s">
        <v>51</v>
      </c>
      <c r="BP160" s="17" t="s">
        <v>933</v>
      </c>
      <c r="BQ160" s="18">
        <v>47048</v>
      </c>
    </row>
    <row r="161" spans="1:69" x14ac:dyDescent="0.25">
      <c r="A161" s="11" t="str">
        <f>LEFT([1]!MOVIMENTACOES[[#This Row],[Código]],9)</f>
        <v>067004016</v>
      </c>
      <c r="B161" s="11" t="s">
        <v>204</v>
      </c>
      <c r="C161" s="11" t="str">
        <f>TRIM(IFERROR(LEFT([1]!MOVIMENTACOES[[#This Row],[Descrição]],SEARCH([1]!MOVIMENTACOES[[#This Row],[EMBALAGEM]],[1]!MOVIMENTACOES[[#This Row],[Descrição]],1)-1),[1]!MOVIMENTACOES[[#This Row],[Descrição]]))</f>
        <v>SALICYLIC ACID</v>
      </c>
      <c r="D161" s="11" t="str">
        <f>_xlfn.CONCAT([1]!MOVIMENTACOES[[#This Row],[FABRICANTE]],[1]!MOVIMENTACOES[[#This Row],[DESCRIÇÃO SEM EMBALAGEM]],[1]!MOVIMENTACOES[[#This Row],[Coluna1]])</f>
        <v>CHEMAXCELSALICYLIC ACID25</v>
      </c>
      <c r="E161" s="12">
        <f>_xlfn.XLOOKUP([1]!MOVIMENTACOES[[#This Row],[CONCAT]],'[2]PRICE LIST'!$G:$G,'[2]PRICE LIST'!$Q:$Q,"VERIFICAR",0,1)</f>
        <v>14.499999999999998</v>
      </c>
      <c r="F161" s="13">
        <f>_xlfn.XLOOKUP([1]!MOVIMENTACOES[[#This Row],[Data]],[1]PTAX!A:A,[1]PTAX!C:C,"VERIFICAR",0,1)*[1]!MOVIMENTACOES[[#This Row],[PREÇO DE LISTA DOLAR]]</f>
        <v>77.788149999999987</v>
      </c>
      <c r="G161" s="14">
        <f>[1]!MOVIMENTACOES[[#This Row],[PREÇO NET]]-[1]!MOVIMENTACOES[[#This Row],[PREÇO DE LISTA REAL]]</f>
        <v>-29.672892857142841</v>
      </c>
      <c r="H161" s="15">
        <f>-[1]!MOVIMENTACOES[[#This Row],[DESCONTO CONCEDIDO]]/[1]!MOVIMENTACOES[[#This Row],[PREÇO DE LISTA REAL]]</f>
        <v>0.3814577523330076</v>
      </c>
      <c r="I161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48.115257142857146</v>
      </c>
      <c r="J161" s="15">
        <f>VLOOKUP([1]!MOVIMENTACOES[[#This Row],[DESC %]],[1]!DESC[#Data],2,TRUE)</f>
        <v>2.5000000000000001E-3</v>
      </c>
      <c r="K161" s="15">
        <f>_xlfn.XLOOKUP([1]!MOVIMENTACOES[[#This Row],[NF-e]],'[1]PEDIDOS E COMISSOES'!A:A,'[1]PEDIDOS E COMISSOES'!E:E,"VERIFICAR",0,1)</f>
        <v>-1E-3</v>
      </c>
      <c r="L161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61" s="16">
        <f>[1]!MOVIMENTACOES[[#This Row],[COMISSÃO FINAL]]*([1]!MOVIMENTACOES[[#This Row],[PREÇO NET]]*[1]!MOVIMENTACOES[[#This Row],[Qtde]])</f>
        <v>25.26051</v>
      </c>
      <c r="N161" s="14" t="str">
        <f>_xlfn.XLOOKUP(LEFT([1]!MOVIMENTACOES[[#This Row],[Código]],3),'[1]BASE DE FABRICANTES'!A:A,'[1]BASE DE FABRICANTES'!B:B,"VERIFICAR",0,1)</f>
        <v>CHEMAXCEL</v>
      </c>
      <c r="O161" s="14">
        <f>[1]!MOVIMENTACOES[[#This Row],[PREÇO NET]]*[1]!MOVIMENTACOES[[#This Row],[Qtde]]</f>
        <v>16840.34</v>
      </c>
      <c r="P161" s="3" t="s">
        <v>618</v>
      </c>
      <c r="Q161" s="3" t="s">
        <v>619</v>
      </c>
      <c r="R161" s="3" t="s">
        <v>49</v>
      </c>
      <c r="S161" s="3" t="s">
        <v>620</v>
      </c>
      <c r="T161" s="6">
        <v>46041</v>
      </c>
      <c r="U161" s="6" t="s">
        <v>928</v>
      </c>
      <c r="V161" s="3" t="s">
        <v>91</v>
      </c>
      <c r="W161" s="3"/>
      <c r="X161" s="3"/>
      <c r="Y161" s="3" t="s">
        <v>929</v>
      </c>
      <c r="Z161" s="3" t="s">
        <v>930</v>
      </c>
      <c r="AA161" s="3" t="s">
        <v>931</v>
      </c>
      <c r="AB161" s="3"/>
      <c r="AC161" s="3" t="s">
        <v>53</v>
      </c>
      <c r="AD161" s="3" t="s">
        <v>134</v>
      </c>
      <c r="AE161" s="3" t="s">
        <v>44</v>
      </c>
      <c r="AF161" s="3" t="s">
        <v>45</v>
      </c>
      <c r="AG161" s="3" t="s">
        <v>46</v>
      </c>
      <c r="AH161" s="3" t="s">
        <v>47</v>
      </c>
      <c r="AI161" s="3" t="s">
        <v>932</v>
      </c>
      <c r="AJ161" s="4">
        <v>350</v>
      </c>
      <c r="AK161" s="4">
        <v>50</v>
      </c>
      <c r="AL161" s="4">
        <v>1250</v>
      </c>
      <c r="AM161" s="5">
        <v>22.025158685200001</v>
      </c>
      <c r="AN161" s="5">
        <v>60.9</v>
      </c>
      <c r="AO161" s="5">
        <v>7708.8055398200004</v>
      </c>
      <c r="AP161" s="5">
        <v>21315</v>
      </c>
      <c r="AQ161" s="5">
        <v>21315</v>
      </c>
      <c r="AR161" s="5">
        <v>3836.7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/>
      <c r="AY161" s="5"/>
      <c r="AZ161" s="5"/>
      <c r="BA161" s="5">
        <v>0</v>
      </c>
      <c r="BB161" s="5">
        <v>0</v>
      </c>
      <c r="BC161" s="5">
        <v>0</v>
      </c>
      <c r="BD161" s="5">
        <v>17478.3</v>
      </c>
      <c r="BE161" s="5">
        <v>113.61</v>
      </c>
      <c r="BF161" s="5">
        <v>0</v>
      </c>
      <c r="BG161" s="5">
        <v>17478.3</v>
      </c>
      <c r="BH161" s="5">
        <v>524.35</v>
      </c>
      <c r="BI161" s="5">
        <v>0</v>
      </c>
      <c r="BJ161" s="5">
        <v>0</v>
      </c>
      <c r="BK161" s="5">
        <v>0</v>
      </c>
      <c r="BL161" s="3" t="s">
        <v>49</v>
      </c>
      <c r="BM161" s="3"/>
      <c r="BN161" s="3" t="s">
        <v>55</v>
      </c>
      <c r="BO161" s="3" t="s">
        <v>51</v>
      </c>
      <c r="BP161" s="3" t="s">
        <v>934</v>
      </c>
      <c r="BQ161" s="6">
        <v>47048</v>
      </c>
    </row>
    <row r="162" spans="1:69" x14ac:dyDescent="0.25">
      <c r="A162" s="11" t="str">
        <f>LEFT([1]!MOVIMENTACOES[[#This Row],[Código]],9)</f>
        <v>096004001</v>
      </c>
      <c r="B162" s="11" t="s">
        <v>149</v>
      </c>
      <c r="C162" s="11" t="str">
        <f>TRIM(IFERROR(LEFT([1]!MOVIMENTACOES[[#This Row],[Descrição]],SEARCH([1]!MOVIMENTACOES[[#This Row],[EMBALAGEM]],[1]!MOVIMENTACOES[[#This Row],[Descrição]],1)-1),[1]!MOVIMENTACOES[[#This Row],[Descrição]]))</f>
        <v>ZIGA MOIST PM-II</v>
      </c>
      <c r="D162" s="11" t="str">
        <f>_xlfn.CONCAT([1]!MOVIMENTACOES[[#This Row],[FABRICANTE]],[1]!MOVIMENTACOES[[#This Row],[DESCRIÇÃO SEM EMBALAGEM]],[1]!MOVIMENTACOES[[#This Row],[Coluna1]])</f>
        <v>GIGA FINEZIGA MOIST PM-II1</v>
      </c>
      <c r="E162" s="12">
        <f>_xlfn.XLOOKUP([1]!MOVIMENTACOES[[#This Row],[CONCAT]],'[2]PRICE LIST'!$G:$G,'[2]PRICE LIST'!$Q:$Q,"VERIFICAR",0,1)</f>
        <v>964.81958096590904</v>
      </c>
      <c r="F162" s="13">
        <f>_xlfn.XLOOKUP([1]!MOVIMENTACOES[[#This Row],[Data]],[1]PTAX!A:A,[1]PTAX!C:C,"VERIFICAR",0,1)*[1]!MOVIMENTACOES[[#This Row],[PREÇO DE LISTA DOLAR]]</f>
        <v>5175.9676060078118</v>
      </c>
      <c r="G162" s="14">
        <f>[1]!MOVIMENTACOES[[#This Row],[PREÇO NET]]-[1]!MOVIMENTACOES[[#This Row],[PREÇO DE LISTA REAL]]</f>
        <v>-4169.2131060078118</v>
      </c>
      <c r="H162" s="15">
        <f>-[1]!MOVIMENTACOES[[#This Row],[DESCONTO CONCEDIDO]]/[1]!MOVIMENTACOES[[#This Row],[PREÇO DE LISTA REAL]]</f>
        <v>0.80549443570097945</v>
      </c>
      <c r="I162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1006.7545000000001</v>
      </c>
      <c r="J162" s="15">
        <f>VLOOKUP([1]!MOVIMENTACOES[[#This Row],[DESC %]],[1]!DESC[#Data],2,TRUE)</f>
        <v>2.5000000000000001E-3</v>
      </c>
      <c r="K162" s="15">
        <f>_xlfn.XLOOKUP([1]!MOVIMENTACOES[[#This Row],[NF-e]],'[1]PEDIDOS E COMISSOES'!A:A,'[1]PEDIDOS E COMISSOES'!E:E,"VERIFICAR",0,1)</f>
        <v>-1E-3</v>
      </c>
      <c r="L162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62" s="16">
        <f>[1]!MOVIMENTACOES[[#This Row],[COMISSÃO FINAL]]*([1]!MOVIMENTACOES[[#This Row],[PREÇO NET]]*[1]!MOVIMENTACOES[[#This Row],[Qtde]])</f>
        <v>90.607905000000002</v>
      </c>
      <c r="N162" s="14" t="str">
        <f>_xlfn.XLOOKUP(LEFT([1]!MOVIMENTACOES[[#This Row],[Código]],3),'[1]BASE DE FABRICANTES'!A:A,'[1]BASE DE FABRICANTES'!B:B,"VERIFICAR",0,1)</f>
        <v>GIGA FINE</v>
      </c>
      <c r="O162" s="14">
        <f>[1]!MOVIMENTACOES[[#This Row],[PREÇO NET]]*[1]!MOVIMENTACOES[[#This Row],[Qtde]]</f>
        <v>60405.270000000004</v>
      </c>
      <c r="P162" s="17" t="s">
        <v>935</v>
      </c>
      <c r="Q162" s="17" t="s">
        <v>936</v>
      </c>
      <c r="R162" s="17" t="s">
        <v>49</v>
      </c>
      <c r="S162" s="17" t="s">
        <v>89</v>
      </c>
      <c r="T162" s="18">
        <v>46041</v>
      </c>
      <c r="U162" s="18" t="s">
        <v>554</v>
      </c>
      <c r="V162" s="17" t="s">
        <v>91</v>
      </c>
      <c r="W162" s="17"/>
      <c r="X162" s="17"/>
      <c r="Y162" s="17" t="s">
        <v>937</v>
      </c>
      <c r="Z162" s="17" t="s">
        <v>938</v>
      </c>
      <c r="AA162" s="17" t="s">
        <v>939</v>
      </c>
      <c r="AB162" s="17"/>
      <c r="AC162" s="17" t="s">
        <v>53</v>
      </c>
      <c r="AD162" s="17" t="s">
        <v>940</v>
      </c>
      <c r="AE162" s="17" t="s">
        <v>44</v>
      </c>
      <c r="AF162" s="17" t="s">
        <v>45</v>
      </c>
      <c r="AG162" s="17" t="s">
        <v>46</v>
      </c>
      <c r="AH162" s="17" t="s">
        <v>47</v>
      </c>
      <c r="AI162" s="17" t="s">
        <v>48</v>
      </c>
      <c r="AJ162" s="19">
        <v>60</v>
      </c>
      <c r="AK162" s="19">
        <v>42</v>
      </c>
      <c r="AL162" s="19">
        <v>0</v>
      </c>
      <c r="AM162" s="20">
        <v>578.12097049199997</v>
      </c>
      <c r="AN162" s="20">
        <v>1274.26</v>
      </c>
      <c r="AO162" s="20">
        <v>34687.258229519997</v>
      </c>
      <c r="AP162" s="20">
        <v>76455.600000000006</v>
      </c>
      <c r="AQ162" s="20">
        <v>76455.600000000006</v>
      </c>
      <c r="AR162" s="20">
        <v>13762.01</v>
      </c>
      <c r="AS162" s="20">
        <v>0</v>
      </c>
      <c r="AT162" s="20">
        <v>0</v>
      </c>
      <c r="AU162" s="20">
        <v>0</v>
      </c>
      <c r="AV162" s="20">
        <v>0</v>
      </c>
      <c r="AW162" s="20">
        <v>0</v>
      </c>
      <c r="AX162" s="20"/>
      <c r="AY162" s="20"/>
      <c r="AZ162" s="20"/>
      <c r="BA162" s="20">
        <v>76455.600000000006</v>
      </c>
      <c r="BB162" s="20">
        <v>4969.6099999999997</v>
      </c>
      <c r="BC162" s="20">
        <v>0</v>
      </c>
      <c r="BD162" s="20">
        <v>62693.59</v>
      </c>
      <c r="BE162" s="20">
        <v>407.51</v>
      </c>
      <c r="BF162" s="20">
        <v>0</v>
      </c>
      <c r="BG162" s="20">
        <v>62693.59</v>
      </c>
      <c r="BH162" s="20">
        <v>1880.81</v>
      </c>
      <c r="BI162" s="20">
        <v>0</v>
      </c>
      <c r="BJ162" s="20">
        <v>0</v>
      </c>
      <c r="BK162" s="20">
        <v>0</v>
      </c>
      <c r="BL162" s="17" t="s">
        <v>49</v>
      </c>
      <c r="BM162" s="17"/>
      <c r="BN162" s="17" t="s">
        <v>55</v>
      </c>
      <c r="BO162" s="17" t="s">
        <v>51</v>
      </c>
      <c r="BP162" s="17" t="s">
        <v>941</v>
      </c>
      <c r="BQ162" s="18">
        <v>46695</v>
      </c>
    </row>
    <row r="163" spans="1:69" x14ac:dyDescent="0.25">
      <c r="A163" s="11" t="str">
        <f>LEFT([1]!MOVIMENTACOES[[#This Row],[Código]],9)</f>
        <v>061004001</v>
      </c>
      <c r="B163" s="11" t="s">
        <v>149</v>
      </c>
      <c r="C163" s="11" t="str">
        <f>TRIM(IFERROR(LEFT([1]!MOVIMENTACOES[[#This Row],[Descrição]],SEARCH([1]!MOVIMENTACOES[[#This Row],[EMBALAGEM]],[1]!MOVIMENTACOES[[#This Row],[Descrição]],1)-1),[1]!MOVIMENTACOES[[#This Row],[Descrição]]))</f>
        <v>BIO-SODIUM HYALURONATE POWDER (HMW)</v>
      </c>
      <c r="D163" s="11" t="str">
        <f>_xlfn.CONCAT([1]!MOVIMENTACOES[[#This Row],[FABRICANTE]],[1]!MOVIMENTACOES[[#This Row],[DESCRIÇÃO SEM EMBALAGEM]],[1]!MOVIMENTACOES[[#This Row],[Coluna1]])</f>
        <v>FOCUSBIO-SODIUM HYALURONATE POWDER (HMW)1</v>
      </c>
      <c r="E163" s="12">
        <f>_xlfn.XLOOKUP([1]!MOVIMENTACOES[[#This Row],[CONCAT]],'[2]PRICE LIST'!$G:$G,'[2]PRICE LIST'!$Q:$Q,"VERIFICAR",0,1)</f>
        <v>1929.5136</v>
      </c>
      <c r="F163" s="13">
        <f>_xlfn.XLOOKUP([1]!MOVIMENTACOES[[#This Row],[Data]],[1]PTAX!A:A,[1]PTAX!C:C,"VERIFICAR",0,1)*[1]!MOVIMENTACOES[[#This Row],[PREÇO DE LISTA DOLAR]]</f>
        <v>10351.26160992</v>
      </c>
      <c r="G163" s="14">
        <f>[1]!MOVIMENTACOES[[#This Row],[PREÇO NET]]-[1]!MOVIMENTACOES[[#This Row],[PREÇO DE LISTA REAL]]</f>
        <v>-8375.7548099200012</v>
      </c>
      <c r="H163" s="15">
        <f>-[1]!MOVIMENTACOES[[#This Row],[DESCONTO CONCEDIDO]]/[1]!MOVIMENTACOES[[#This Row],[PREÇO DE LISTA REAL]]</f>
        <v>0.80915304100644148</v>
      </c>
      <c r="I163" s="16">
        <f>(([1]!MOVIMENTACOES[[#This Row],[PU saída]]*[1]!MOVIMENTACOES[[#This Row],[Qtde]])-[1]!MOVIMENTACOES[[#This Row],[Valor ICMS]]-[1]!MOVIMENTACOES[[#This Row],[Valor PIS]]-[1]!MOVIMENTACOES[[#This Row],[Valor COFINS]])/[1]!MOVIMENTACOES[[#This Row],[Qtde]]</f>
        <v>1975.5067999999999</v>
      </c>
      <c r="J163" s="15">
        <f>VLOOKUP([1]!MOVIMENTACOES[[#This Row],[DESC %]],[1]!DESC[#Data],2,TRUE)</f>
        <v>2.5000000000000001E-3</v>
      </c>
      <c r="K163" s="15">
        <f>_xlfn.XLOOKUP([1]!MOVIMENTACOES[[#This Row],[NF-e]],'[1]PEDIDOS E COMISSOES'!A:A,'[1]PEDIDOS E COMISSOES'!E:E,"VERIFICAR",0,1)</f>
        <v>-1E-3</v>
      </c>
      <c r="L163" s="15">
        <f>IF([1]!MOVIMENTACOES[[#This Row],[PERCENTUAL DE COMISSÕES]]+[1]!MOVIMENTACOES[[#This Row],[AJUSTE COMISSÃO]]&lt;0.06%,0.05%,[1]!MOVIMENTACOES[[#This Row],[PERCENTUAL DE COMISSÕES]]+[1]!MOVIMENTACOES[[#This Row],[AJUSTE COMISSÃO]])</f>
        <v>1.5E-3</v>
      </c>
      <c r="M163" s="16">
        <f>[1]!MOVIMENTACOES[[#This Row],[COMISSÃO FINAL]]*([1]!MOVIMENTACOES[[#This Row],[PREÇO NET]]*[1]!MOVIMENTACOES[[#This Row],[Qtde]])</f>
        <v>74.081504999999993</v>
      </c>
      <c r="N163" s="14" t="str">
        <f>_xlfn.XLOOKUP(LEFT([1]!MOVIMENTACOES[[#This Row],[Código]],3),'[1]BASE DE FABRICANTES'!A:A,'[1]BASE DE FABRICANTES'!B:B,"VERIFICAR",0,1)</f>
        <v>FOCUS</v>
      </c>
      <c r="O163" s="14">
        <f>[1]!MOVIMENTACOES[[#This Row],[PREÇO NET]]*[1]!MOVIMENTACOES[[#This Row],[Qtde]]</f>
        <v>49387.67</v>
      </c>
      <c r="P163" s="3" t="s">
        <v>942</v>
      </c>
      <c r="Q163" s="3" t="s">
        <v>325</v>
      </c>
      <c r="R163" s="3" t="s">
        <v>49</v>
      </c>
      <c r="S163" s="3" t="s">
        <v>102</v>
      </c>
      <c r="T163" s="6">
        <v>46041</v>
      </c>
      <c r="U163" s="6" t="s">
        <v>943</v>
      </c>
      <c r="V163" s="3" t="s">
        <v>91</v>
      </c>
      <c r="W163" s="3"/>
      <c r="X163" s="3"/>
      <c r="Y163" s="3" t="s">
        <v>944</v>
      </c>
      <c r="Z163" s="3" t="s">
        <v>945</v>
      </c>
      <c r="AA163" s="3" t="s">
        <v>946</v>
      </c>
      <c r="AB163" s="3"/>
      <c r="AC163" s="3" t="s">
        <v>53</v>
      </c>
      <c r="AD163" s="3" t="s">
        <v>54</v>
      </c>
      <c r="AE163" s="3" t="s">
        <v>44</v>
      </c>
      <c r="AF163" s="3" t="s">
        <v>45</v>
      </c>
      <c r="AG163" s="3" t="s">
        <v>46</v>
      </c>
      <c r="AH163" s="3" t="s">
        <v>47</v>
      </c>
      <c r="AI163" s="3" t="s">
        <v>48</v>
      </c>
      <c r="AJ163" s="4">
        <v>25</v>
      </c>
      <c r="AK163" s="4">
        <v>75</v>
      </c>
      <c r="AL163" s="4">
        <v>0</v>
      </c>
      <c r="AM163" s="5">
        <v>1381.4917421801999</v>
      </c>
      <c r="AN163" s="5">
        <v>2500.42</v>
      </c>
      <c r="AO163" s="5">
        <v>34537.293554504999</v>
      </c>
      <c r="AP163" s="5">
        <v>62510.5</v>
      </c>
      <c r="AQ163" s="5">
        <v>62510.5</v>
      </c>
      <c r="AR163" s="5">
        <v>11251.89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/>
      <c r="AY163" s="5"/>
      <c r="AZ163" s="5"/>
      <c r="BA163" s="5">
        <v>62510.5</v>
      </c>
      <c r="BB163" s="5">
        <v>2031.59</v>
      </c>
      <c r="BC163" s="5">
        <v>0</v>
      </c>
      <c r="BD163" s="5">
        <v>51258.61</v>
      </c>
      <c r="BE163" s="5">
        <v>333.18</v>
      </c>
      <c r="BF163" s="5">
        <v>0</v>
      </c>
      <c r="BG163" s="5">
        <v>51258.61</v>
      </c>
      <c r="BH163" s="5">
        <v>1537.76</v>
      </c>
      <c r="BI163" s="5">
        <v>0</v>
      </c>
      <c r="BJ163" s="5">
        <v>0</v>
      </c>
      <c r="BK163" s="5">
        <v>0</v>
      </c>
      <c r="BL163" s="3" t="s">
        <v>49</v>
      </c>
      <c r="BM163" s="3"/>
      <c r="BN163" s="3" t="s">
        <v>55</v>
      </c>
      <c r="BO163" s="3" t="s">
        <v>51</v>
      </c>
      <c r="BP163" s="3" t="s">
        <v>56</v>
      </c>
      <c r="BQ163" s="6">
        <v>46485</v>
      </c>
    </row>
  </sheetData>
  <conditionalFormatting sqref="G2:M163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Hansen -  Innovasell Corporation</dc:creator>
  <cp:lastModifiedBy>Hector Hansen -  Innovasell Corporation</cp:lastModifiedBy>
  <dcterms:created xsi:type="dcterms:W3CDTF">2026-03-05T13:50:48Z</dcterms:created>
  <dcterms:modified xsi:type="dcterms:W3CDTF">2026-03-05T13:52:32Z</dcterms:modified>
</cp:coreProperties>
</file>